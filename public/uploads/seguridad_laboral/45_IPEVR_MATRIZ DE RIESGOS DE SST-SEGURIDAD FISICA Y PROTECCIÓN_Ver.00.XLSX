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mjimenez\Downloads\"/>
    </mc:Choice>
  </mc:AlternateContent>
  <bookViews>
    <workbookView xWindow="0" yWindow="0" windowWidth="20490" windowHeight="7755" activeTab="1"/>
  </bookViews>
  <sheets>
    <sheet name="CONTROL DE ACTUALIZACIONES " sheetId="7" r:id="rId1"/>
    <sheet name="MATRIZ DE RIESGOS DE SST" sheetId="14" r:id="rId2"/>
    <sheet name="UNIVERSO DE RIESGOS DE SST " sheetId="11" r:id="rId3"/>
    <sheet name="TABLA DE CRITERIOS" sheetId="12" r:id="rId4"/>
    <sheet name="MAPAS DE RIESGOS INHER Y RESID" sheetId="3"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xlnm._FilterDatabase" localSheetId="1" hidden="1">'MATRIZ DE RIESGOS DE SST'!$A$5:$Z$15</definedName>
    <definedName name="_xlnm._FilterDatabase" localSheetId="2" hidden="1">'UNIVERSO DE RIESGOS DE SST '!$A$1:$C$66</definedName>
    <definedName name="AB">[1]BASE!$A:$IV</definedName>
    <definedName name="ABC">[1]BASE1!$A:$IV</definedName>
    <definedName name="ABCD" localSheetId="1">#REF!</definedName>
    <definedName name="ABCD" localSheetId="3">#REF!</definedName>
    <definedName name="ABCD">#REF!</definedName>
    <definedName name="ABVF">[1]GRADO1!$A:$IV</definedName>
    <definedName name="ACEPTACIÓN">'[2]PANORAMA RIESGOS'!$BB$13:$BB$42</definedName>
    <definedName name="ACT" localSheetId="1">#REF!</definedName>
    <definedName name="ACT">#REF!</definedName>
    <definedName name="Actividad" localSheetId="1">#REF!</definedName>
    <definedName name="Actividad">#REF!</definedName>
    <definedName name="ACTIVIDADES" localSheetId="1">#REF!</definedName>
    <definedName name="ACTIVIDADES">#REF!</definedName>
    <definedName name="BSC" localSheetId="1">#REF!</definedName>
    <definedName name="BSC">#REF!</definedName>
    <definedName name="CALIFICACIÓN_CONSECUENCIAS" localSheetId="3">'[2]PANORAMA RIESGOS'!#REF!</definedName>
    <definedName name="CALIFICACIÓN_CONSECUENCIAS">'[2]PANORAMA RIESGOS'!#REF!</definedName>
    <definedName name="CALIFICACIÓN_POSIBILIDAD_DE_OCURRENCIA">'[2]PANORAMA RIESGOS'!#REF!</definedName>
    <definedName name="Capacidad">[3]Lista!$C$4:$C$8</definedName>
    <definedName name="CARACTER">#REF!</definedName>
    <definedName name="Clasificación" localSheetId="1">#REF!</definedName>
    <definedName name="Clasificación">#REF!</definedName>
    <definedName name="CLASIFICACIÓNCR" localSheetId="1">#REF!</definedName>
    <definedName name="CLASIFICACIÓNCR">#REF!</definedName>
    <definedName name="Concepto" comment="Concepto innovador">[3]Lista!#REF!</definedName>
    <definedName name="Concepto_innovación" localSheetId="1">#REF!</definedName>
    <definedName name="Concepto_innovación">#REF!</definedName>
    <definedName name="CONSE" localSheetId="1">#REF!</definedName>
    <definedName name="CONSE">#REF!</definedName>
    <definedName name="CUMPLIMIENTO_DE_REQUISITOS">'[2]PANORAMA RIESGOS'!#REF!</definedName>
    <definedName name="Datos" localSheetId="1">#REF!</definedName>
    <definedName name="Datos">#REF!</definedName>
    <definedName name="ECONÓMICO" localSheetId="3">'[2]PANORAMA RIESGOS'!#REF!</definedName>
    <definedName name="ECONÓMICO">'[2]PANORAMA RIESGOS'!#REF!</definedName>
    <definedName name="ESCALA">'[4]MATRIZ DE ANALISIS'!$D$10:$D$14</definedName>
    <definedName name="Export" localSheetId="1" hidden="1">{"'Hoja1'!$A$1:$I$70"}</definedName>
    <definedName name="Export" localSheetId="3" hidden="1">{"'Hoja1'!$A$1:$I$70"}</definedName>
    <definedName name="Export" hidden="1">{"'Hoja1'!$A$1:$I$70"}</definedName>
    <definedName name="EXPOSI" localSheetId="1">#REF!</definedName>
    <definedName name="EXPOSI">#REF!</definedName>
    <definedName name="FAC">[5]Hoja1!$B$2:$B$81</definedName>
    <definedName name="factor">[5]Hoja1!$B$2:$B$81</definedName>
    <definedName name="Horizontes">[3]Lista!$E$4:$E$6</definedName>
    <definedName name="HTML_CodePage" hidden="1">1252</definedName>
    <definedName name="HTML_Control" localSheetId="1" hidden="1">{"'Hoja1'!$A$1:$I$70"}</definedName>
    <definedName name="HTML_Control" localSheetId="3" hidden="1">{"'Hoja1'!$A$1:$I$70"}</definedName>
    <definedName name="HTML_Control" hidden="1">{"'Hoja1'!$A$1:$I$70"}</definedName>
    <definedName name="HTML_Description" hidden="1">""</definedName>
    <definedName name="HTML_Email" hidden="1">""</definedName>
    <definedName name="HTML_Header" hidden="1">"Hoja1"</definedName>
    <definedName name="HTML_LastUpdate" hidden="1">"27/12/2000"</definedName>
    <definedName name="HTML_LineAfter" hidden="1">FALSE</definedName>
    <definedName name="HTML_LineBefore" hidden="1">FALSE</definedName>
    <definedName name="HTML_Name" hidden="1">"win98"</definedName>
    <definedName name="HTML_OBDlg2" hidden="1">TRUE</definedName>
    <definedName name="HTML_OBDlg4" hidden="1">TRUE</definedName>
    <definedName name="HTML_OS" hidden="1">0</definedName>
    <definedName name="HTML_PathFile" hidden="1">"C:\Mis documentos\HTML.htm"</definedName>
    <definedName name="HTML_Title" hidden="1">"CALENDARIO 2001"</definedName>
    <definedName name="IMAGEN">'[2]PANORAMA RIESGOS'!#REF!</definedName>
    <definedName name="Impacto">[3]Lista!$D$4:$D$8</definedName>
    <definedName name="Índice" localSheetId="1">#REF!</definedName>
    <definedName name="Índice">#REF!</definedName>
    <definedName name="Modelo" localSheetId="1">#REF!</definedName>
    <definedName name="Modelo">#REF!</definedName>
    <definedName name="NATURALEZA_DE_LA_LESION" localSheetId="1">#REF!</definedName>
    <definedName name="NATURALEZA_DE_LA_LESION" localSheetId="3">#REF!</definedName>
    <definedName name="NATURALEZA_DE_LA_LESION">#REF!</definedName>
    <definedName name="NLESION" localSheetId="1">#REF!</definedName>
    <definedName name="NLESION">#REF!</definedName>
    <definedName name="ocurrencia">'[4]PANORAMA RIESGOS'!$CC$1:$CD$5</definedName>
    <definedName name="OPCIONESM" localSheetId="1">#REF!</definedName>
    <definedName name="OPCIONESM" localSheetId="3">#REF!</definedName>
    <definedName name="OPCIONESM">#REF!</definedName>
    <definedName name="OPERATIVIDAD" localSheetId="3">'[2]PANORAMA RIESGOS'!#REF!</definedName>
    <definedName name="OPERATIVIDAD">'[2]PANORAMA RIESGOS'!#REF!</definedName>
    <definedName name="PLAC" localSheetId="1">#REF!</definedName>
    <definedName name="PLAC">#REF!</definedName>
    <definedName name="PLACAS" localSheetId="1">#REF!</definedName>
    <definedName name="PLACAS">[6]DATOS!$A$2:$A$94</definedName>
    <definedName name="PROBAB" localSheetId="1">#REF!</definedName>
    <definedName name="PROBAB" localSheetId="3">#REF!</definedName>
    <definedName name="PROBAB">#REF!</definedName>
    <definedName name="Proyectos" localSheetId="1">#REF!</definedName>
    <definedName name="Proyectos">#REF!</definedName>
    <definedName name="Rango1">'[7]Matriz de Peligros'!$CG$495:$CH$505</definedName>
    <definedName name="Rango2">'[7]Matriz de Peligros'!$CJ$495:$CL$517</definedName>
    <definedName name="Rol" localSheetId="1">#REF!</definedName>
    <definedName name="Rol">#REF!</definedName>
    <definedName name="SATISFACCIÓN" localSheetId="3">'[2]PANORAMA RIESGOS'!#REF!</definedName>
    <definedName name="SATISFACCIÓN">'[2]PANORAMA RIESGOS'!#REF!</definedName>
    <definedName name="Segmento" comment="Segmento de mercado">[3]Lista!#REF!</definedName>
    <definedName name="SEGURIDAD_DE_LA_INFORMACIÓN">'[2]PANORAMA RIESGOS'!#REF!</definedName>
    <definedName name="Selección">[3]Crecimiento!#REF!</definedName>
    <definedName name="Tiporegistro" localSheetId="1">#REF!</definedName>
    <definedName name="Tiporegistro">#REF!</definedName>
    <definedName name="x" localSheetId="1">#REF!</definedName>
    <definedName name="x">#REF!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8" i="14" l="1"/>
  <c r="O28" i="14"/>
  <c r="M28" i="14"/>
  <c r="W27" i="14"/>
  <c r="O27" i="14"/>
  <c r="M27" i="14"/>
  <c r="W22" i="14"/>
  <c r="O22" i="14"/>
  <c r="M22" i="14"/>
  <c r="W21" i="14"/>
  <c r="O21" i="14"/>
  <c r="M21" i="14"/>
  <c r="W20" i="14"/>
  <c r="O20" i="14"/>
  <c r="M20" i="14"/>
  <c r="W19" i="14"/>
  <c r="O19" i="14"/>
  <c r="M19" i="14"/>
  <c r="W18" i="14"/>
  <c r="O18" i="14"/>
  <c r="M18" i="14"/>
  <c r="W17" i="14"/>
  <c r="O17" i="14"/>
  <c r="M17" i="14"/>
  <c r="W16" i="14"/>
  <c r="O16" i="14"/>
  <c r="M16" i="14"/>
  <c r="W25" i="14"/>
  <c r="O25" i="14"/>
  <c r="M25" i="14"/>
  <c r="P25" i="14" s="1"/>
  <c r="W24" i="14"/>
  <c r="O24" i="14"/>
  <c r="M24" i="14"/>
  <c r="W23" i="14"/>
  <c r="O23" i="14"/>
  <c r="M23" i="14"/>
  <c r="W29" i="14"/>
  <c r="O29" i="14"/>
  <c r="M29" i="14"/>
  <c r="W26" i="14"/>
  <c r="O26" i="14"/>
  <c r="M26" i="14"/>
  <c r="O15" i="14"/>
  <c r="M15" i="14"/>
  <c r="W13" i="14"/>
  <c r="W12" i="14"/>
  <c r="W11" i="14"/>
  <c r="W10" i="14"/>
  <c r="P29" i="14" l="1"/>
  <c r="P16" i="14"/>
  <c r="P28" i="14"/>
  <c r="X28" i="14" s="1"/>
  <c r="Y28" i="14" s="1"/>
  <c r="Z28" i="14" s="1"/>
  <c r="P27" i="14"/>
  <c r="Q27" i="14" s="1"/>
  <c r="P19" i="14"/>
  <c r="P18" i="14"/>
  <c r="X18" i="14" s="1"/>
  <c r="Y18" i="14" s="1"/>
  <c r="P22" i="14"/>
  <c r="X22" i="14" s="1"/>
  <c r="P20" i="14"/>
  <c r="Q20" i="14" s="1"/>
  <c r="P24" i="14"/>
  <c r="Q24" i="14" s="1"/>
  <c r="P23" i="14"/>
  <c r="X23" i="14" s="1"/>
  <c r="Z23" i="14" s="1"/>
  <c r="P17" i="14"/>
  <c r="X17" i="14" s="1"/>
  <c r="Y17" i="14" s="1"/>
  <c r="P21" i="14"/>
  <c r="Q21" i="14" s="1"/>
  <c r="X19" i="14"/>
  <c r="Y19" i="14" s="1"/>
  <c r="Q19" i="14"/>
  <c r="X16" i="14"/>
  <c r="Y16" i="14" s="1"/>
  <c r="Q16" i="14"/>
  <c r="Q25" i="14"/>
  <c r="X25" i="14"/>
  <c r="Y25" i="14" s="1"/>
  <c r="Z25" i="14" s="1"/>
  <c r="Z22" i="14"/>
  <c r="Z20" i="14"/>
  <c r="P26" i="14"/>
  <c r="Q26" i="14" s="1"/>
  <c r="Q29" i="14"/>
  <c r="X29" i="14"/>
  <c r="Y29" i="14" s="1"/>
  <c r="Z29" i="14" s="1"/>
  <c r="P15" i="14"/>
  <c r="Q23" i="14" l="1"/>
  <c r="Q17" i="14"/>
  <c r="Q28" i="14"/>
  <c r="X27" i="14"/>
  <c r="Z27" i="14" s="1"/>
  <c r="X26" i="14"/>
  <c r="Y26" i="14" s="1"/>
  <c r="Z26" i="14" s="1"/>
  <c r="X20" i="14"/>
  <c r="X24" i="14"/>
  <c r="Y24" i="14" s="1"/>
  <c r="Z24" i="14" s="1"/>
  <c r="X21" i="14"/>
  <c r="Y21" i="14" s="1"/>
  <c r="Z21" i="14" s="1"/>
  <c r="Z9" i="14" l="1"/>
  <c r="W9" i="14"/>
  <c r="O9" i="14"/>
  <c r="O13" i="14"/>
  <c r="M13" i="14"/>
  <c r="O12" i="14"/>
  <c r="M12" i="14"/>
  <c r="O11" i="14"/>
  <c r="M11" i="14"/>
  <c r="O10" i="14"/>
  <c r="M10" i="14"/>
  <c r="M9" i="14"/>
  <c r="M6" i="14"/>
  <c r="P13" i="14" l="1"/>
  <c r="P12" i="14"/>
  <c r="P11" i="14"/>
  <c r="P10" i="14"/>
  <c r="P9" i="14"/>
  <c r="X9" i="14" s="1"/>
  <c r="Y9" i="14" s="1"/>
  <c r="Q13" i="14" l="1"/>
  <c r="X13" i="14"/>
  <c r="Y13" i="14" s="1"/>
  <c r="Z13" i="14" s="1"/>
  <c r="Q10" i="14"/>
  <c r="X10" i="14"/>
  <c r="Y10" i="14" s="1"/>
  <c r="Z10" i="14" s="1"/>
  <c r="Q11" i="14"/>
  <c r="X11" i="14"/>
  <c r="Y11" i="14" s="1"/>
  <c r="Z11" i="14" s="1"/>
  <c r="Q12" i="14"/>
  <c r="X12" i="14"/>
  <c r="Z12" i="14" s="1"/>
  <c r="Z16" i="14" l="1"/>
  <c r="Z18" i="14"/>
  <c r="Z17" i="14" l="1"/>
  <c r="Z19" i="14"/>
  <c r="W8" i="14"/>
  <c r="O7" i="14" l="1"/>
  <c r="O8" i="14"/>
  <c r="O14" i="14"/>
  <c r="O6" i="14"/>
  <c r="M7" i="14"/>
  <c r="M8" i="14"/>
  <c r="M14" i="14"/>
  <c r="W6" i="14"/>
  <c r="W7" i="14"/>
  <c r="W14" i="14"/>
  <c r="W15" i="14"/>
  <c r="J16" i="3"/>
  <c r="I18" i="3"/>
  <c r="J18" i="3"/>
  <c r="J17" i="3"/>
  <c r="P14" i="14" l="1"/>
  <c r="X14" i="14" s="1"/>
  <c r="Y14" i="14" s="1"/>
  <c r="P7" i="14"/>
  <c r="X15" i="14"/>
  <c r="P8" i="14"/>
  <c r="P6" i="14"/>
  <c r="X6" i="14" s="1"/>
  <c r="K3" i="3"/>
  <c r="J3" i="3"/>
  <c r="I3" i="3"/>
  <c r="H3" i="3"/>
  <c r="G3" i="3"/>
  <c r="K4" i="3"/>
  <c r="J4" i="3"/>
  <c r="I4" i="3"/>
  <c r="H4" i="3"/>
  <c r="G4" i="3"/>
  <c r="K5" i="3"/>
  <c r="J5" i="3"/>
  <c r="I5" i="3"/>
  <c r="H5" i="3"/>
  <c r="G5" i="3"/>
  <c r="H6" i="3"/>
  <c r="I6" i="3"/>
  <c r="J6" i="3"/>
  <c r="K6" i="3"/>
  <c r="G6" i="3"/>
  <c r="H7" i="3"/>
  <c r="I7" i="3"/>
  <c r="J7" i="3"/>
  <c r="K7" i="3"/>
  <c r="G7" i="3"/>
  <c r="H16" i="3"/>
  <c r="I16" i="3"/>
  <c r="G16" i="3"/>
  <c r="H17" i="3"/>
  <c r="I17" i="3"/>
  <c r="G17" i="3"/>
  <c r="H18" i="3"/>
  <c r="G18" i="3"/>
  <c r="Z15" i="14" l="1"/>
  <c r="Y6" i="14"/>
  <c r="Z6" i="14" s="1"/>
  <c r="Q7" i="14"/>
  <c r="Z14" i="14"/>
  <c r="X7" i="14"/>
  <c r="Z7" i="14" s="1"/>
  <c r="Q8" i="14"/>
  <c r="X8" i="14"/>
  <c r="Y8" i="14" s="1"/>
  <c r="Z8" i="14" s="1"/>
  <c r="Q14" i="14"/>
  <c r="Q6" i="14"/>
</calcChain>
</file>

<file path=xl/sharedStrings.xml><?xml version="1.0" encoding="utf-8"?>
<sst xmlns="http://schemas.openxmlformats.org/spreadsheetml/2006/main" count="573" uniqueCount="326">
  <si>
    <t xml:space="preserve">RUTINARIA </t>
  </si>
  <si>
    <t>NO RUTINARIA</t>
  </si>
  <si>
    <t>EXPUESTOS</t>
  </si>
  <si>
    <t>Fijo</t>
  </si>
  <si>
    <t>Temporal</t>
  </si>
  <si>
    <t>Contratista</t>
  </si>
  <si>
    <t>Visitante</t>
  </si>
  <si>
    <t>CARGO EXPUESTO</t>
  </si>
  <si>
    <t>GENERADO POR/ CAUSADO POR</t>
  </si>
  <si>
    <t>POSIBLE EFECTO/ CONSECUENCIA</t>
  </si>
  <si>
    <t>BIOLÓGICO:
Contacto con plantas urticantes</t>
  </si>
  <si>
    <t>*Dermatosis, reacciones alérgicas, enfermedades infecto contagiosas, alteraciones en los diferentes sistemas.</t>
  </si>
  <si>
    <t>BIOLÓGICO:
Fluidos o excrementos</t>
  </si>
  <si>
    <t>*Contacto con fluídos corporales y secreciones.</t>
  </si>
  <si>
    <t>BIOLÓGICO:
Microorganismos (Virus y bacterias)</t>
  </si>
  <si>
    <t>*Dermatosis, reacciones alérgicas, enfermedades infecto contagiosas, alteraciones en los diferentes sistemas, muerte.</t>
  </si>
  <si>
    <t>BIOLÓGICO:
Microorganismos (Virus-COVID-19)</t>
  </si>
  <si>
    <t>*Contacto directo entre personas portadoras del virus CODIV-19 u objetos contaminados.
*Contacto con fluídos corporales y secreciones.</t>
  </si>
  <si>
    <t>*IRA-Infección Respiratoria Aguda de leve a grave, neumonia, alteraciones en los diferentes sistemas, muerte.</t>
  </si>
  <si>
    <t>BIOLÓGICO:
Picaduras y mordeduras de animales</t>
  </si>
  <si>
    <t>*Contacto con insectos, roedores, serpientes.
*Contacto con insectos, roedores, serpientes, cuando se realizan actividades de campo.</t>
  </si>
  <si>
    <t>BIOLÓGICO: 
Hongos</t>
  </si>
  <si>
    <t>BIOMECÁNICO:
Esfuerzos</t>
  </si>
  <si>
    <t>*Levantamiento y/o traslado manual de cargas por encima del peso permisible.</t>
  </si>
  <si>
    <t>*Desórdenes de trauma acumulativo; lesiones del sistema músculo esquelético; fatiga; alteraciones lumbares, dorsales, cervicales y sacras; alteraciones del sistema vascular.</t>
  </si>
  <si>
    <t>BIOMECÁNICO:
Manipulación manual de cargas</t>
  </si>
  <si>
    <t>BIOMECÁNICO:
Movimiento repetitivo</t>
  </si>
  <si>
    <t>*Digitación.
*CAD: Quitar grapas.
*Escanear.
*Inclinación del cuello al contestar el telefóno y atención al cliente.
*Conducción de motocicletas y automóviles.</t>
  </si>
  <si>
    <t>BIOMECÁNICO:
Postura forzada</t>
  </si>
  <si>
    <t>*Desórdenes de trauma acumulativo; lesiones del sistema músculo esquelético; fatiga; alteraciones lumbares, dorsales, cervicales y sacras; alteraciones del sistema vascular, golpes.</t>
  </si>
  <si>
    <t>BIOMECÁNICO:
Postura inadecuada</t>
  </si>
  <si>
    <t>*Alcazar objetivos que están ubicados fuera del alcance.
*Labores en oficina en general.
*Actos inseguros.</t>
  </si>
  <si>
    <t>BIOMECÁNICO:
Postura prolongada mantenida</t>
  </si>
  <si>
    <t>FENÓMENOS NATURALES:
Arroyos</t>
  </si>
  <si>
    <t>*Lluvias, vendavales, tormentas eléctricas, arroyos.</t>
  </si>
  <si>
    <t>*Contusiones, asfixia, fracturas, amputaciones, muerte.</t>
  </si>
  <si>
    <t>FENÓMENOS NATURALES:
Derrumbe</t>
  </si>
  <si>
    <t>*Lluvias, vendavales, tormentas eléctricas.
*Movimientos de tierra.
*Excavaciones.</t>
  </si>
  <si>
    <t>*Contusiones, fracturas, amputaciones, muerte.</t>
  </si>
  <si>
    <t>FENÓMENOS NATURALES:
Inundación</t>
  </si>
  <si>
    <t>FENÓMENOS NATURALES:
Mar de leva o marea alta</t>
  </si>
  <si>
    <t>*Lluvias, vendavales, tormentas eléctricas, fuertes vientos.
*Ubicación de las instalaciones cerca del mar.
*Traslado vía marítima.</t>
  </si>
  <si>
    <t>FENÓMENOS NATURALES:
Maremotos</t>
  </si>
  <si>
    <t>*Lluvias, vendavales, tormentas eléctricas, fuertes vientos.
*Terremotos, sismos.
*Ubicación de las instalaciones cerca del mar.
*Traslado vía marítima.</t>
  </si>
  <si>
    <t>FENÓMENOS NATURALES:
Sismo</t>
  </si>
  <si>
    <t>*Movimientos de tierra.
*Excavaciones.</t>
  </si>
  <si>
    <t>*Contusiones, fracturas, amputaciones, muerte.
*Caída de objetos, derrumbes.</t>
  </si>
  <si>
    <t>FENÓMENOS NATURALES:
Terremoto</t>
  </si>
  <si>
    <t>FENÓMENOS NATURALES:
Tormenta eléctrica</t>
  </si>
  <si>
    <t>*Lluvias, tormentas, cambios atmósféricos.</t>
  </si>
  <si>
    <t>*Contusiones, fracturas, amputaciones, muerte.
*Caída de objetivos, accidentes de tránsito, perdida de visibilidad.</t>
  </si>
  <si>
    <t>FENÓMENOS NATURALES:
Vendaval</t>
  </si>
  <si>
    <t>FÍSICO:
Iluminación excesiva o deficiente</t>
  </si>
  <si>
    <t>*Fatiga visual, cefalea, disminución de la destreza y precisión, estrés, pérdida de la capacidad de visión</t>
  </si>
  <si>
    <t>FÍSICO:
Presión atmosférica anormal o ajustada</t>
  </si>
  <si>
    <t>*Anormales: Afectaciones del sistema nervioso, trastornos o problemas pulmonares, muerte.</t>
  </si>
  <si>
    <t>FÍSICO:
Radiaciones ionizantes, rayos X, alfa, gama y beta</t>
  </si>
  <si>
    <t xml:space="preserve">*Alteraciones de la piel, deshidratación, alteración en algunos tejidos blandos (ojos).
*Heridas, golpes, contusiones, laceraciones, electrocución, lumbagos, pérdida de audición, intoxicaciones, muerte. </t>
  </si>
  <si>
    <t>FÍSICO:
Radiaciones No ionizantes láser, ultravioleta, infrarroja</t>
  </si>
  <si>
    <t>*Alteraciones de la piel, deshidratación, alteración en algunos tejidos blandos (ojos).</t>
  </si>
  <si>
    <t>FÍSICO:
Ruido intermitente o continuo</t>
  </si>
  <si>
    <t>*Fatiga auditiva, pérdida de la audición (Hipoacusia), estrés laboral.</t>
  </si>
  <si>
    <t>FÍSICO: 
Temperaturas extremas frío, calor</t>
  </si>
  <si>
    <t>*Disconfort térmico.
*Afecciones respiratorias, alergias.
*Fatiga que puede producir disminución la destreza manual y la rapidez, mareos, desmayos agravamiento de trastornos cardiovasculares.
*Deshidratación.</t>
  </si>
  <si>
    <t>FÍSICO: 
Vibración cuerpo entero o segmentado</t>
  </si>
  <si>
    <t>*Uso de vehículos o motocicletas.
*Uso de máquinas, equipos o herramientas.</t>
  </si>
  <si>
    <t>*Vibraciones de cuerpo entero: Trastornos respiratorios, músculo-esqueléticos, sensoriales, cardiovasculares, efectos sobre el sistema nervioso, sobre el sistema circulatorio o sobre el sistema digestivo.
*Vibraciones mano-brazo: Trastornos vasculares, nerviosos, musculares, de los huesos y de las articulaciones de las extremidades superiores.</t>
  </si>
  <si>
    <t>PSICOSOCIAL:
Demanda de las jornadas de trabajo: Trabajo noturno, horas  extras, turnos de trabajo.</t>
  </si>
  <si>
    <t>*Acumulación de trabajo.
*Perfiles de cargo mal diseñados.
*No remplazo de personas ausentes.
*Supresión de cargos.</t>
  </si>
  <si>
    <t>*Problemas familiares.
*Estrés, enfermedades psicosomáticas, ansiedad y depresión.</t>
  </si>
  <si>
    <t xml:space="preserve">PSICOSOCIAL:
Demandas emocionales: Exigencia de responsabilidad del cargo, reconocimiento y compensación, demandas de carga mental, claridad en rol, control y autonomía sobre el trabajo, participación y manejo del cambio. </t>
  </si>
  <si>
    <t>*Perfiles de cargo mal diseñados.
*Supresión de cargos.
*No remplazo de personas ausentes.
*Acumulación de trabajo.
*Trabajos que impliquen el manejo de dinero.
*Conflictos personales y  familiares.</t>
  </si>
  <si>
    <t>*Estrés, enfermedades psicosomáticas, ansiedad y depresión.</t>
  </si>
  <si>
    <t>*Desacuerdo entre compañeros.
*Perfiles de cargo mal diseñados.
*Conflictos personales y  familiares.</t>
  </si>
  <si>
    <t>PÚBLICO:
Agresiones de usuarios - Comunidad</t>
  </si>
  <si>
    <t>*Realizar tareas en campo.
*Atención de público.
*Atención de público, en las instaciones de la empresa, donde se encuentran las oficinas administrativas.
*Disturbios públicos.
*Vandalismo
*Paros, manifestaciones.
*Ingresar a zonas de riesgo.</t>
  </si>
  <si>
    <t>*Muerte, agresiones verbales y físicas, heridas, estrés laboral, pérdidas económicas.</t>
  </si>
  <si>
    <t>PÚBLICO:
Asalto</t>
  </si>
  <si>
    <t>*Realizar tareas en la calle.
*Disturbios públicos.
*Vandalismo
*Paros, manifestaciones.
*Ingresar a zonas de riesgo.</t>
  </si>
  <si>
    <t>PÚBLICO:
Secuestro</t>
  </si>
  <si>
    <t>QUÍMICOS:
Fibras</t>
  </si>
  <si>
    <t>*Cefaleas, falta de coordinación, náuseas, vómitos, irritación de vías respiratorias, ojos, piel y tracto gastrointestinal, Quemaduras, dermatitis, reacciones alérgicas Asfixia, alteraciones del sistema nervioso central, paros cardiorrespiratorios, muerte.</t>
  </si>
  <si>
    <t>QUÍMICOS:
Gases y vapores</t>
  </si>
  <si>
    <t>QUÍMICOS:
Humos metálicos y no metálicos</t>
  </si>
  <si>
    <t>QUÍMICOS:
Líquidos, nieblas, rocíos</t>
  </si>
  <si>
    <t>QUÍMICOS:
Polvos orgánicos e inorgánicos</t>
  </si>
  <si>
    <t>SEGURIDAD:
Accidentes de tránsito</t>
  </si>
  <si>
    <t>*Muerte, fracturas, contusiones, daño cervical, pérdidas económicas.</t>
  </si>
  <si>
    <t>SEGURIDAD:
Eléctrico-Equipos energizados (alta o baja)</t>
  </si>
  <si>
    <t>*Electrocución, paro cardiaco, paro respiratorio, fibrilación ventricular, tetanización, quemaduras severas, shock eléctrico, muerte.
*Golpes, heridas, fracturas, atrapamientos, electrocución, quemaduras, muerte.</t>
  </si>
  <si>
    <t>SEGURIDAD:
Locativo-Buceo</t>
  </si>
  <si>
    <t>CONTRATISTA:
*Buceo, construcción o manteniemitno de líneas construidas en el lecho marino o sobre el río.</t>
  </si>
  <si>
    <t>*Asfixia, muerte.
*Trastornos o problemas pulmonares.
*Embolias.
*Colapso del sistema circulatorio.</t>
  </si>
  <si>
    <t>SEGURIDAD:
Locativo-Caída de objetos</t>
  </si>
  <si>
    <t>*Fracturas, contusiones.</t>
  </si>
  <si>
    <t>SEGURIDAD:
Locativo-Condiciones de orden y aseo</t>
  </si>
  <si>
    <t>*Desorden.
*Realizar actividades de campo.
*Transitar por las instalaciones.
*Obstáculos en el piso.</t>
  </si>
  <si>
    <t>*Golpes, heridas, contusiones, fracturas, esguinces, luxaciones, muerte.</t>
  </si>
  <si>
    <t>SEGURIDAD:
Locativo-Falta de señalización y demarcación</t>
  </si>
  <si>
    <t>*Traslado para realizar actividades.</t>
  </si>
  <si>
    <t>*Hombre al agua o desaparecido, asfixia por inmersión.
*Choque de embarcaciones.</t>
  </si>
  <si>
    <t>SEGURIDAD:
Locativo-Superficie de trabajo irregular, deslizante, con diferencia de nivel</t>
  </si>
  <si>
    <t>*Golpes, heridas, contusiones, fracturas, esguinces, luxaciones, traumas del sistema osteomuscular, heridas, muerte.</t>
  </si>
  <si>
    <t>*Trabajo en escaleras.
*Trabajo en andamios</t>
  </si>
  <si>
    <t>*Fracturas, contusiones, muerte.</t>
  </si>
  <si>
    <t>*Asfixia, sofocamiento, choques eléctricos, caídas y fatiga por el calor, atrapamientos, intoxicaciones por atmosferas peligrosas, muerte .</t>
  </si>
  <si>
    <t>SEGURIDAD:
Mecánico-Contacto con objetos calientes</t>
  </si>
  <si>
    <t>*Quemaduras, heridas.</t>
  </si>
  <si>
    <t>*Heridas, amputaciones, trastornos de tejidos blandos.</t>
  </si>
  <si>
    <t>SEGURIDAD:
Mecánico-Elementos de máquinas</t>
  </si>
  <si>
    <t>*Uso de máquinas, partes de la misma.</t>
  </si>
  <si>
    <t>*Golpes, heridas, fracturas, contusiones, amputaciones, quemaduras.</t>
  </si>
  <si>
    <t>SEGURIDAD:
Mecánico-Herramientas</t>
  </si>
  <si>
    <t>*Uso de herramientas, partes de las mismas.</t>
  </si>
  <si>
    <t>SEGURIDAD:
Mecánico-Materiales proyectados sólidos o fluido</t>
  </si>
  <si>
    <t>*Fracturas, contusiones, heridas, golpes, quemaduras, lesiones en los ojos.</t>
  </si>
  <si>
    <t>SEGURIDAD:
Mecánico-Piezas a trabajar</t>
  </si>
  <si>
    <t>*Fracturas, contusiones, heridas, golpes, quemaduras.</t>
  </si>
  <si>
    <t>*Golpes, heridas, fracturas, atrapamientos, quemaduras, muerte.
*Cefaleas, falta de coordinación, náuseas, vómitos, irritación de vías respiratorias, ojos, piel y tracto gastrointestinal, dermatitis, reacciones alérgicas Asfixia, alteraciones del sistema nervioso central, paros cardiorrespiratorios, muerte.
*Daños materiales.</t>
  </si>
  <si>
    <t>SEGURIDAD: 
Eléctrico-Estática</t>
  </si>
  <si>
    <t>*Equipos mal aislados eléctricamente.
*Acumulado el vehículo durante la marcha.</t>
  </si>
  <si>
    <t>*Calambre al tocar a otra persona, o un objeto metálico.</t>
  </si>
  <si>
    <t>SEGURIDAD: 
Locativo-Traslados áereos</t>
  </si>
  <si>
    <t>*Falta de orden y aseo.
*Estructuras sin anclajes.
*Obstáculos en el piso.
*Falta de señalización y demarcación.
*Cargas mal apiladas, o almacenadas de forma insegura o irresponsable.</t>
  </si>
  <si>
    <t>*Golpes, heridas, contusiones, fracturas, resbalones.
*Caída de objetos.</t>
  </si>
  <si>
    <t>SEGURIDAD:
Locativo-Almacenamiento</t>
  </si>
  <si>
    <t>PROBABILIDAD</t>
  </si>
  <si>
    <t>El evento no ha ocurrido, pero puede suceder únicamente en casos extremos.</t>
  </si>
  <si>
    <t>2. BAJA</t>
  </si>
  <si>
    <t>El evento puede suceder y ha ocurrido en organizaciones similares, por lo menos 1 vez al año.</t>
  </si>
  <si>
    <t>El evento puede suceder y ha ocurrido en la organización, por lo menos 1 vez al año.</t>
  </si>
  <si>
    <t>4. ALTA</t>
  </si>
  <si>
    <t>El evento puede suceder con facilidad, por lo menos 1 vez al mes.</t>
  </si>
  <si>
    <t>5. MUY ALTA</t>
  </si>
  <si>
    <t>El evento sucede frecuentemente, al menos 1 vez a la semana.</t>
  </si>
  <si>
    <t>CONSECUENCIA - SST</t>
  </si>
  <si>
    <t>1. INSIGNIFICANTE</t>
  </si>
  <si>
    <t>Ninguna lesión y/o enfermedad laboral.</t>
  </si>
  <si>
    <t>Lesiones leves o con primeros auxilios o con tratamiento médico, sin incapacidad o con incapacidad de 1 día.</t>
  </si>
  <si>
    <t>Accidentes de Trabajo y/o Enfermedades Laborales con Incapacidad temporal mayor a 1 día.</t>
  </si>
  <si>
    <t>Accidentes de Trabajo y/o Enfermedades Laborales con Incapacidad permanente- parcial o total.</t>
  </si>
  <si>
    <t>Una o más fatalidades por  accidentes de trabajo y/o enfermedades laborales.</t>
  </si>
  <si>
    <t>CONSECUENCIA</t>
  </si>
  <si>
    <t>NIVEL DE RIESGO RESIDUAL</t>
  </si>
  <si>
    <t>PLAN DE ACCIÓN</t>
  </si>
  <si>
    <t>Reforzar la divulgación y aplicación de los controles existentes para mejorar su eficacia o complementar dichos controles estableciendo el plan de acción necesario, teniendo en cuenta la jerarquía de definición de controles.</t>
  </si>
  <si>
    <t>PROCESO:</t>
  </si>
  <si>
    <t xml:space="preserve">FECHA DE ELABORACIÓN: </t>
  </si>
  <si>
    <t>NIVEL DEL RIESGO INHERENTE
(Probabilidad x Consecuencia)</t>
  </si>
  <si>
    <t xml:space="preserve">CONTROLES ACTUALES </t>
  </si>
  <si>
    <t>En la fuente</t>
  </si>
  <si>
    <t>En el medio</t>
  </si>
  <si>
    <t>En la persona</t>
  </si>
  <si>
    <t>Administrativo</t>
  </si>
  <si>
    <t>MAPA DE RIESGOS INHERENTES</t>
  </si>
  <si>
    <t>MAPA DE RIESGOS RESIDUALES</t>
  </si>
  <si>
    <t>RIESGO INHERENTE</t>
  </si>
  <si>
    <t>EFICACIA DE LOS CONTROLES
(% DE REDUCCIÓN ESTIMADA DEL RIESGO INHERENTE)</t>
  </si>
  <si>
    <t>90% FUERTE</t>
  </si>
  <si>
    <t>40% MODERADA</t>
  </si>
  <si>
    <t>15% DÉBIL</t>
  </si>
  <si>
    <t>Hay pleno entendimiento del riesgo, existen y mantienen actualizados procedimientos y programas que se divulgan de manera permanente.</t>
  </si>
  <si>
    <t>Hay conciencia del riesgo, existen procedimientos y programas, pero no se actualizan, ni se divulgan con la periodicidad establecida.</t>
  </si>
  <si>
    <t>No hay conciencia del riesgo; no existen procedimientos, ni programas formales para evitar la materialización del riesgo.</t>
  </si>
  <si>
    <t>BAJO</t>
  </si>
  <si>
    <t>MODERADO</t>
  </si>
  <si>
    <t>ALTO</t>
  </si>
  <si>
    <t>EXTREMO</t>
  </si>
  <si>
    <r>
      <t xml:space="preserve">Mantener los controles existentes, si se tiene la certeza de que se están cumpliendo los </t>
    </r>
    <r>
      <rPr>
        <sz val="9"/>
        <color rgb="FFFF0000"/>
        <rFont val="Tahoma"/>
        <family val="2"/>
      </rPr>
      <t>requisitos legales vigentes</t>
    </r>
    <r>
      <rPr>
        <sz val="9"/>
        <color rgb="FF000000"/>
        <rFont val="Tahoma"/>
        <family val="2"/>
      </rPr>
      <t>; en caso contrario, se debe establecer un plan de acción para darle cumplimiento a dichos requisitos, considerando la eliminación o sustitución, si aplica.</t>
    </r>
  </si>
  <si>
    <t xml:space="preserve">Realizar el análisis de riesgos por la tarea "ART", definiendo los controles específicos o adicionales para su realización según los respectivos procedimientos de trabajo seguro y divulgarlos al personal.  </t>
  </si>
  <si>
    <t xml:space="preserve">No debe realizarse ningún trabajo sin  asegurarse que el riesgo está bajo control antes de iniciar cualquier tarea. </t>
  </si>
  <si>
    <t>1. MUY BAJA</t>
  </si>
  <si>
    <t>3. MODERADA</t>
  </si>
  <si>
    <t>2. LEVE</t>
  </si>
  <si>
    <t>3. IMPORTANTE</t>
  </si>
  <si>
    <t>4. CRÍTICA</t>
  </si>
  <si>
    <t>5. CATASTRÓFICA</t>
  </si>
  <si>
    <t>DÉBIL</t>
  </si>
  <si>
    <t>MODERADA</t>
  </si>
  <si>
    <t>FUERTE</t>
  </si>
  <si>
    <t xml:space="preserve">BAJO </t>
  </si>
  <si>
    <t xml:space="preserve">ALTO </t>
  </si>
  <si>
    <t xml:space="preserve">EXTREMO </t>
  </si>
  <si>
    <t>ALTA</t>
  </si>
  <si>
    <t>BAJA</t>
  </si>
  <si>
    <t>MUY BAJA</t>
  </si>
  <si>
    <t>INSIGNIFICANTE</t>
  </si>
  <si>
    <t>LEVE</t>
  </si>
  <si>
    <t>IMPORTANTE</t>
  </si>
  <si>
    <t>CRÍTICA</t>
  </si>
  <si>
    <t>CATASTRÓFICA</t>
  </si>
  <si>
    <t xml:space="preserve">EFICACIA DE(LOS) CONTRO(LES) </t>
  </si>
  <si>
    <t>MUY ALTA</t>
  </si>
  <si>
    <r>
      <t xml:space="preserve">TIPO DE ACTIVIDAD: </t>
    </r>
    <r>
      <rPr>
        <b/>
        <sz val="9"/>
        <color indexed="8"/>
        <rFont val="Tahoma"/>
        <family val="2"/>
      </rPr>
      <t xml:space="preserve"> </t>
    </r>
  </si>
  <si>
    <t>Valor probabilidad</t>
  </si>
  <si>
    <t>Valor Consecuencia</t>
  </si>
  <si>
    <t>Valor NRI</t>
  </si>
  <si>
    <t>% Reducción</t>
  </si>
  <si>
    <t>VALOR DE RIESGO RESIDUAL</t>
  </si>
  <si>
    <t>*Realizar trabajos al aire libre, sol.
*Pantallas de computador.
*Lámparas.
*Sistemas de radiocomunicaciones.
*Microondas.</t>
  </si>
  <si>
    <t>ACTIVIDAD/ TAREA</t>
  </si>
  <si>
    <t>ANÁLISIS DEL RIESGO</t>
  </si>
  <si>
    <t xml:space="preserve">CAUSA </t>
  </si>
  <si>
    <t>FACTOR DE RIESGO (PELIGRO)</t>
  </si>
  <si>
    <t>MATRIZ DE RIESGOS DE SST</t>
  </si>
  <si>
    <t xml:space="preserve">*Traslado para realizar actividades.
* Realizar tareas cerca de cuerpos de agua profundas. </t>
  </si>
  <si>
    <t xml:space="preserve">
*Actividades de soldadura.</t>
  </si>
  <si>
    <t xml:space="preserve">*Luminarias.
*Luz natural.   
*Trabajos Nocturnos </t>
  </si>
  <si>
    <t xml:space="preserve">SEGURIDAD:
Mecánico-Contacto con objetos cortantes / Punzantes </t>
  </si>
  <si>
    <t>PSICOSOCIAL:
Relaciones sociales en el trabajo: Tabajo en equipo, relación con los colaboradores.</t>
  </si>
  <si>
    <t>*Vías deterioradas.
*Problemas de salud del conductor.
*Excesos de velocidad.
*Incumplimiento de normas y señales de tránsito.
*Conducir bajo los efectos del alcohol o sustancias psicoactivas.
*Actos inseguros (Salir del vehículo cuando aún no se ha detenido, sacar la cabeza y las manos por las ventanillas, viajar en el estribo o colgado en el transporte público).
*Vehículos en malas condiciones de funcionamiento.
*Falta de mantenimiento a vehículos.
*Personas imprudentes en la vía.
* Alta circulacion vehicular
* Volcamiento de maquinaria amarilla en movimiento.  
PEATONES:
*Trabajo y/o transito en zonas con trafico vehicular y/o operación de maquinaria pesada. 
*Cruzar las calles sin respetar las señales de trásito y semáforos.</t>
  </si>
  <si>
    <t>*Almacenamiento de sustancias químicas.
*Almacenamiento de polvora 
*Desniveles en el piso.</t>
  </si>
  <si>
    <t>SEGURIDAD:
Tecnológico: Explosión.</t>
  </si>
  <si>
    <t>SEGURIDAD:
Tecnológico: incendios</t>
  </si>
  <si>
    <t>SEGURIDAD:
Tecnológico: Fugas</t>
  </si>
  <si>
    <t>SEGURIDAD:
Tecnológico: Derrames.</t>
  </si>
  <si>
    <t>*Fibras naturales minerales (amianto, arcillas y zeolitas fibrosas,
etc.) y fibras naturales procedentes de animales o vegetales (seda,
lana, algodón, lino, cáñamo, yute, etc.)
*Fibras artificiales de origen natural (rayón de viscosa, proteínas,
éster celulósico, fibras de vidrio, de cerámicas o de roca y las lanas
de roca, de vidrio, etc.) y fibras artificiales de origen sintético ( poliamidas, poliéster, polipropilenos, polimetanos, carbón y grafito.)</t>
  </si>
  <si>
    <t>QUÍMICOS:
Material particulado.</t>
  </si>
  <si>
    <t xml:space="preserve">*Actividades realizadas en campo donde hay maleza.
*Contacto con plantas urticantes.
</t>
  </si>
  <si>
    <t>*Actividades de mantenimiento a gasoductos.
*Actividades de mantenimiento locativo (Pintura, lavado, etc.)
*Levantamiento de planos instrumentales.
*Buceo en actividades de construcción o mantenimiento de líneas construidas en el lecho marino o sobre el río.
*Trabajos en espacios confinados.</t>
  </si>
  <si>
    <t>*Desnivel en el suelo.
*Desorden.
*Realizar actividades de campo.
*Subir y bajar escaleras.
*Subir y bajar estribos 
*Transitar por las instalaciones.
*Obstáculos en el piso.
*Piso resbaloso.</t>
  </si>
  <si>
    <t xml:space="preserve">*Uso de elementos de oficina: Ganchos legajadores, hojas, grapas, guillotina, exactos, bisturi, etc.
*Uso de herramientas de corte (segueta, pinzas, etc.)
*Superficies de trabajo con residuos cortantes y/o punzantes.
*Manipulacion de materiales de trabajo. </t>
  </si>
  <si>
    <t xml:space="preserve">*Falta de orden y aseo.
*Estructuras sin anclajes.
*Cargas suspendidas por maquinarias. 
*Alcanzar objetos, herramientas o materiales, almacenados en estantes. 
*Herramientas ubicadas en niveles superiores. </t>
  </si>
  <si>
    <t xml:space="preserve">*Pulido de metales.
*Martillado.
*Corte de piezas.
*Vientos en el sitio de trabajo. 
*Revision preoperacional de maquinas y/o equipos 
*Operación de la maquinaria. 
* Arena, particulas de residuos. 
*Corte de maleza en el sitio de trabajo con herramientas manuales, equipos y/o maquina. </t>
  </si>
  <si>
    <t>* Fallas operativas en los equipos.
* Operación en lagunas de lixiviado.
* Sobre carga de equipos de recoleccion de residuos solidos.   
* Fenómenos naturales como sismos o huracanes</t>
  </si>
  <si>
    <t xml:space="preserve">SEGURIDAD:
Locativo: - Navegación marítima o fluvial
- Exposicion a cuerpos de agua profundas </t>
  </si>
  <si>
    <t xml:space="preserve">*Uso de equipos de oficina, como impresoras y teléfonos.
*Planta eléctrica.
*Autogeneración.
*Cuarto de máquinas.
*Torre de enfriamiento.
*Chiller.
*Digiturno.
*Uso de máquinas, equipos o herramientas.
*Durante la calibración de medidores industriales con boquillas sónicas en campo.
*Utilización de pistola neumática. 
*Utilización de marcador vibrador electrónico, calibracion de equipos en laboratorio y taladro
*Circulacion vehicular. 
* Operación de maquinaria. </t>
  </si>
  <si>
    <t>*Contacto con tomacorrientes.
*Uso de extensión eléctricas defectuosas.
*Construcción de energía fotovoltaíca.</t>
  </si>
  <si>
    <t xml:space="preserve">*Realizar tareas en la calle.
*Disturbios públicos.
*Vandalismo
*Paros, manifestaciones.
*Ingresar a zonas de riesgo.
*Transito de rutas por diversas zonas de la ciudad. </t>
  </si>
  <si>
    <t xml:space="preserve">*Contacto con agua caliente de dispensadores.
*Contacto con el ploter en uso.
*Contacto con  hornos, calentadoras, estufas, cautin)
*Contacto con superficies y /o partes del vehiculo /maquina. 
*Herramientas de trabajo calientes. </t>
  </si>
  <si>
    <t xml:space="preserve">*Alcazar objetivos que están ubicados fuera del alcance.
*Ubicar objetos fuera del alcance.
* Manipular y/o realizar tareas que requieran extension de los brazos </t>
  </si>
  <si>
    <t>*Cortocircuitos.
*Saturación de vapores combustibles.
*Manipulación de sustancias inframables.
*Reacciones de sustancias incompatibles.
*Rompimiento de un cilindro.
*Sobrepresión de un recipiente a presión.
*Ruptura de tubería.
*Fugas de gas natural en la estación interna.
*Alamacenamiento de Polvora.
*Transporte de polvora. 
*Acumulación de gases ò vapores.
* Ignición del residuo solido depositado.
*Fallas en vehiculos y/o maquinas. 
*Quemas de biogás</t>
  </si>
  <si>
    <t>*Cortocircuitos.
*Saturación de vapores combustibles.
*Manipulación de sustancias inflamables.
*Reacciones de sustancias incompatibles.
*Rompimiento de un cilindro.
*Sobrepresión de un recipiente a presión.
*Ruptura de tubería.
*Fugas de gas natural en la estación interna.
*Alamacenamiento de Polvora.
*Transporte de polvora. 
*Acumulación de gases ò vapores.
* Ignición del residuo solido depositado.
*Quemas de biogás</t>
  </si>
  <si>
    <t xml:space="preserve">*Almacenamiento de sustancias quimicas. 
*Malas condiciones de sistemas de almacenamiento y/o transporte de sustancias quimicas. 
*Almacenamiento inadecuado de los recipientes.
* Fallas en la laguna de aguas residuales.
* Fallas en la laguna de lixiviado. 
* Fallas en los equipos de compactacion. </t>
  </si>
  <si>
    <t xml:space="preserve">
*Contacto con fluídos corporales y secreciones. 
*Contacto con superficies contaminadas por manipulacion de residuos solidos ordinarios.
*Contacto con superficies contaminadas por manipulacion de residuos peligrosos. 
*Trabajo en ambientes contaminados por disposicion de residuos solidos. 
*Recoleccion y manipulacion de redisuos solidos.
*Exposicion a aguas residuales.
*Trabajo cerca de lagunas de lixiviados. 
*Manipulacion de residuos. </t>
  </si>
  <si>
    <t xml:space="preserve">*Contacto con fluídos corporales y secreciones.
*Ingestión de alimentos/agua contaminados.
*Retención de orina o heces por desempeño laboral fuera de la sede de la empresa.
*Realizar labores de campo de lugares de riesgo de enfermedades de salud pública.
*Contacto con superficies contaminadas por manipulacion de residuos solidos ordinarios.
*Contacto con superficies contaminadas por manipulacion de residuos peligrosos. 
*Trabajo en ambientes contaminados por disposicion de residuos solidos. 
*Recoleccion y manipulacion de redisuos solidos.
*Exposicion a aguas residuales.
*Trabajo cerca de lagunas de lixiviados. 
Contacto con lixiviado tratado. </t>
  </si>
  <si>
    <t xml:space="preserve">FECHA </t>
  </si>
  <si>
    <t>REVISION N°</t>
  </si>
  <si>
    <t>*Uso de aerosoles.
*Actividades de soldadura.</t>
  </si>
  <si>
    <t xml:space="preserve">*Limpieza de áreas.
*Material partículado polvo de madera, fibra de vidrio.
*Material particulado. </t>
  </si>
  <si>
    <t xml:space="preserve">*Limpieza de áreas.
*Material partículado polvo de madera, fibra de vidrio.
*Manipulacion de residuos. 
*Manipulacion de sustancias quimicas. </t>
  </si>
  <si>
    <t>SEGURIDAD:
Tabajo en alturas</t>
  </si>
  <si>
    <t>SEGURIDAD:
Trabajo en espacios confinados</t>
  </si>
  <si>
    <t>*Actividades de mantenimiento a gaseoductos.
*Actividades de mantenimiento locativo (Pintura, lavado, etc.)
*Levantamiento de planos instrumentales.
*Trabajos en espacios confinados.</t>
  </si>
  <si>
    <t>*Construcción de estaciones / Construcción de tuberías / Logística.</t>
  </si>
  <si>
    <t xml:space="preserve">*Salpicadura de químicos al realizar el trasvase. 
*Salpicadura de químicos manipulacion de residuos. 
*Uso de aerosoles.
*Uso de pinturas.
*Manipulacion de sustancias para la limpieza.
*Manipulacion de sustancias quimicas para el proceso. 
*Preparacion de quimicos para el proceso. 
*Manipulacion de empaques contaminados. </t>
  </si>
  <si>
    <t xml:space="preserve">*Uso o manipulacion de cloro gas
*Uso o manipulacion de combustibles.
*Uso o manipulacion de aerosoles.
*Uso o manipulacion de pegantes.
*Uso o manipulacion de varsol.
*Uso o manipulacion de pinturas.
*Durante la calibración de equipos detectores en campo (H2S-Ácido sulfúrico, CO-Monóxido de carbono, CH4-Metano, VOC-compuestos orgánicos volátiles).
*Transporte, llenado y trasvase de odorante (H2S-Ácido sulfúrico, CO-Monóxido de carbono, VOC-compuestos orgánicos volátiles).
*Proceso de atención de emergencias (H2S-Ácido sulfúrico, CO-Monóxido de carbono, VOC-compuestos orgánicos volátiles).
* Gases tóxicos producidos por la descomposición de residuos. 
* Manipulacion de sustancias quimicas.
* Manipulacion de residuos de sustancias quimicas. </t>
  </si>
  <si>
    <t xml:space="preserve">CONTROL DE ACTUALIZACIONES </t>
  </si>
  <si>
    <t xml:space="preserve">REALIZADO POR </t>
  </si>
  <si>
    <t>DESCRIPCION DE LA ACTUALIZACION</t>
  </si>
  <si>
    <r>
      <t xml:space="preserve">MC-ST-FR-92
Version: </t>
    </r>
    <r>
      <rPr>
        <sz val="16"/>
        <color theme="1"/>
        <rFont val="Tahoma"/>
        <family val="2"/>
      </rPr>
      <t>00</t>
    </r>
    <r>
      <rPr>
        <b/>
        <sz val="16"/>
        <color theme="1"/>
        <rFont val="Tahoma"/>
        <family val="2"/>
      </rPr>
      <t xml:space="preserve">
Fecha: </t>
    </r>
    <r>
      <rPr>
        <sz val="16"/>
        <color theme="1"/>
        <rFont val="Tahoma"/>
        <family val="2"/>
      </rPr>
      <t>24/07/2023</t>
    </r>
  </si>
  <si>
    <r>
      <t xml:space="preserve">MC-ST-FR-92
Version: </t>
    </r>
    <r>
      <rPr>
        <sz val="11"/>
        <color theme="1"/>
        <rFont val="Tahoma"/>
        <family val="2"/>
      </rPr>
      <t>00</t>
    </r>
    <r>
      <rPr>
        <b/>
        <sz val="11"/>
        <color theme="1"/>
        <rFont val="Tahoma"/>
        <family val="2"/>
      </rPr>
      <t xml:space="preserve">
Fecha: </t>
    </r>
    <r>
      <rPr>
        <sz val="11"/>
        <color theme="1"/>
        <rFont val="Tahoma"/>
        <family val="2"/>
      </rPr>
      <t xml:space="preserve">24/07/2023
</t>
    </r>
  </si>
  <si>
    <t xml:space="preserve">*Aires acondicionados.
*Altas temperaturas por exposición al sol.
*Cambios de temperatura al entrar o salir de la oficina.
*Fallas en el aire acondicionado.
*Deficiencia de ventilacion natural y/o artificial. </t>
  </si>
  <si>
    <t>*Labores en oficina en general.
*Actividades de vigilancia.
*Conducción de vehículos y motos.
*Operar maquinaria pesada. 
*Traslados terretres como pasajeros.</t>
  </si>
  <si>
    <t>TRABAJOS ADMINISTRATIVOS/ AREA ADMINISTRATIVA</t>
  </si>
  <si>
    <t>X</t>
  </si>
  <si>
    <t>ANALISTA DE SEGURIDAD ADMINISTRATIVO</t>
  </si>
  <si>
    <t>solicitar el uso de tapabocas a personas con aparentes señales de infección respiratoria</t>
  </si>
  <si>
    <t>aplicación de protocolo de bioseguridad, trabajo flexible en casa para el funcionario</t>
  </si>
  <si>
    <t>realizar mantenimiento de equipos de oficina y reemplazar los que se encuentren averiados</t>
  </si>
  <si>
    <t>mantener los elementos de oficina en orden y   cuidar de dar mal uso</t>
  </si>
  <si>
    <t>uso adecuado de elementos de oficina</t>
  </si>
  <si>
    <t>solicitar los equipos necesarios y acordes para las tares asignadas</t>
  </si>
  <si>
    <t xml:space="preserve">realizar pausas activas durante la jornada laboral.
</t>
  </si>
  <si>
    <t>No Aplica.</t>
  </si>
  <si>
    <t>suspender actividades y ponerse a salvo</t>
  </si>
  <si>
    <t xml:space="preserve">Activar                    Plan de emergencias   y evacuación                     </t>
  </si>
  <si>
    <t>utilizar gafas que protejan del brillo excesivo.</t>
  </si>
  <si>
    <t xml:space="preserve">Implementar luminarias acordes al lugar de trabajo </t>
  </si>
  <si>
    <t>solicitar la instalación de luminarias con luz acorde al lugar de trabajo</t>
  </si>
  <si>
    <t xml:space="preserve"> Utilizar la iluminación necesaria para desempeñar las labores encomendadas</t>
  </si>
  <si>
    <t>utilizar Gafas con filtros para radiaciones UV.</t>
  </si>
  <si>
    <t>utilizar ropa abrigada de ser necesario</t>
  </si>
  <si>
    <t xml:space="preserve">Mantener los aires acondicionados en una  temperatura acorde  y confortable </t>
  </si>
  <si>
    <t xml:space="preserve">               Mantenimiento de los equipos e  aires acondicionados</t>
  </si>
  <si>
    <t>Dar instrucción sobre el manejo adecuado de pantallas de computo y medios de comunicación, realizar pausas activas</t>
  </si>
  <si>
    <t>no tratar de arreglar tomacorrientes dañados, cambiar luminarias defectuosas</t>
  </si>
  <si>
    <t>no aplica</t>
  </si>
  <si>
    <t>*Labores en oficina en general.</t>
  </si>
  <si>
    <t>No Aplica</t>
  </si>
  <si>
    <t>Hacer pausas activas durante la jornada laboral</t>
  </si>
  <si>
    <t>solicitar acompañamiento y evaluación de seguridad y salud en el trabajo</t>
  </si>
  <si>
    <t>*Contacto directo entre personas portadoras del virus CODIV-19 u objetos contaminados.
*Contacto con fluidos corporales y secreciones.</t>
  </si>
  <si>
    <t>*IRA-Infección Respiratoria Aguda de leve a grave, neumonía, alteraciones en los diferentes sistemas, muerte.</t>
  </si>
  <si>
    <t xml:space="preserve"> Distanciamiento físico con personas que presenten señales de infección respiratoria</t>
  </si>
  <si>
    <t>Instar al visitante o funcionario asistir al medico para prueba COVID 19</t>
  </si>
  <si>
    <t>*Digitación.
*CAD: Quitar grapas.
*Escanear.
*Inclinación del cuello al contestar el teléfono y atención al cliente.
*Conducción de motocicletas y automóviles.</t>
  </si>
  <si>
    <t>realizar pausas activas durante la jornada laboral.
tener cuidado al momento de utilizar los elementos de oficina que puedan llegar a causar lesión por imprudencia o impericia</t>
  </si>
  <si>
    <t>*Alcanzar objetivos que están ubicados fuera del alcance.
*Labores en oficina en general.
*Actos inseguros.</t>
  </si>
  <si>
    <t>mantener una buena postura corporal durante las labores , utilizar los medios a disposición para la  realización de tareas</t>
  </si>
  <si>
    <t>Dotar de los ELEMENTOS necesarios y acordes a las labores a desempeñar  respecto al puesto de trabajo y sus obligaciones</t>
  </si>
  <si>
    <t xml:space="preserve">Emplear los equipos de computo o comunicaciones y   de acuerdo a las especificaciones técnicas del fabricante </t>
  </si>
  <si>
    <t xml:space="preserve">*Aires acondicionados.
*Altas temperaturas por exposición al sol.
*Cambios de temperatura al entrar o salir de la oficina.
*Fallas en el aire acondicionado.
*Deficiencia de ventilación natural y/o artificial. </t>
  </si>
  <si>
    <t>Realizar análisis de temperatura necesaria  para el mantenimiento optimo de equipos</t>
  </si>
  <si>
    <t>*Contacto con tomacorrientes.
*Uso de extensión eléctricas defectuosas.
*Construcción de energía fotovoltaica.</t>
  </si>
  <si>
    <t xml:space="preserve">Realizar verificación visual de  equipos eléctricos,  cables y  tomacorrientes antes de conectar y utilizar </t>
  </si>
  <si>
    <t>Solicitar el mantenimiento técnico de tomacorrientes, cabes o luminarias con daños y desperfectos</t>
  </si>
  <si>
    <t xml:space="preserve">*Uso de elementos de oficina: Ganchos legajadores, hojas, grapas, guillotina, exactos, bisturí, etc.
*Uso de herramientas de corte (segueta, pinzas, etc.)
*Superficies de trabajo con residuos cortantes y/o punzantes.
*Manipulación de materiales de trabajo. </t>
  </si>
  <si>
    <t xml:space="preserve"> espacio adecuado de trabajo, mobiliario ergonómico (sillas, descansa pies y teclados para computador) archivadores organizadores</t>
  </si>
  <si>
    <t>DIRECTOR DE SEGURIDAD</t>
  </si>
  <si>
    <t>Uso de elementos protectores como cascos, gafas y calzado antideslizante.</t>
  </si>
  <si>
    <t xml:space="preserve"> 
Capacitacion sobre evaluación del riesgo y medidas de autoprotección en riesgos laborales</t>
  </si>
  <si>
    <t>evitar areas de riesgo como son pisos humedos, superficies deslizantes, irregulares y demas areas con condiciones de terreno que puedan causar caidas, luxasiones u traumas osteomusculares.</t>
  </si>
  <si>
    <t>evitar areas de riesgo donde se esten adelantando trabajos mecanicos o  trabajos de mantenimiento de maquinaria que puedan provocar accidentes .</t>
  </si>
  <si>
    <t>Durante las labores de supervición y control a  la  seguridad fisicas de instalaciones,  realizar una  inspeccion visual a las areas por donde va a transitar identificando factores de riesgo como herramientas, materiales  o tendidos electricos en el piso,  que puedan ocacionar caidas o lesiones.</t>
  </si>
  <si>
    <t>Durante las labores de supervición y control a  la  seguridad fisicas de instalaciones,  realizar una  inspeccion visual a las areas por donde va a transitar identificando factores de riesgo que puedan ocacionar caidas o lesiones.</t>
  </si>
  <si>
    <t xml:space="preserve">Durante las labores de supervición y control a  la  seguridad fisicas de instalaciones,  realizar  inspeccion visual a las areas de transito, identificando factores de riesgo en los niveles superiores, trabajos locativos o electricos en altura con riesgo de caida de herramientas, maquinaria o luminarias. </t>
  </si>
  <si>
    <t>evitar transitar por areas de riesgo donde se esten adelantando trabajos en alturas, mantenimientos de luminarias o locativos que puedan generar caida de objetos, materiales uo herramientas que puedan llegar a causar lexiones, fracturas o contusiones</t>
  </si>
  <si>
    <t>Durante los desplazamientos utilizar vehiculos con caracterirsticas mecanicas acorde al terreno, que cumplan los requisitos de transito exigidos  por las autoridades de transito,soat, tecnomecanica,   usar cinturon de seguridad, respetar la velocidad establecida y respetar todas las señales de transito</t>
  </si>
  <si>
    <t>No exceder la velocidad maxima permitida , ni exigir al conductor que lo haga, no quitarse el cinturon de seguridad mientras este en marcha,no distraerse con equipos celulares u otros mientras conduce o distraer al conductor.</t>
  </si>
  <si>
    <t>Capacitación sobre manejo preventivo y defensivo;normas de  seguridad vial y  acreditación de conductores.
Realizar plan de mantenimiento preventivo y correctivo de los vehículos empresariales.</t>
  </si>
  <si>
    <t>Abstenerse  de conducir si no se encuentra en condiciones fisica y de salud para hacerlo ( sueño o cansancio) si el trayecto es muy distante , realizar pausas  de descanso cada 2 horas.</t>
  </si>
  <si>
    <t>Evaluar riesgo inminente implementando medidas de seguridad.</t>
  </si>
  <si>
    <t>Evitar transitar por areas en conflicto o areas con incidencia delincuencial.</t>
  </si>
  <si>
    <t>Alejarse con precausion sin llamar la atencion  en caso de riesgo inminente.</t>
  </si>
  <si>
    <t>difundir informacion sobre areas con incidencia delincuencial-
Coordinar apoyo de unidades policivas para custodia y protección ante estos eventos</t>
  </si>
  <si>
    <t>Alejarse con precausion ante disturbio del orden publico</t>
  </si>
  <si>
    <t>Evitar transitar por areas con alteracion del orden publico.</t>
  </si>
  <si>
    <t>difundir informacion sobre lugares de disturbiosy  manifestaciones 
Coordinar apoyo de unidades policivas para custodia y protección ante estos eventos</t>
  </si>
  <si>
    <t>no manipular tomacorrientes, equipos o  luminarias defectuosas</t>
  </si>
  <si>
    <t xml:space="preserve"> No aplica</t>
  </si>
  <si>
    <t xml:space="preserve">suspender actividades y resguardarse </t>
  </si>
  <si>
    <t>instrucción sobre medidas de seguridad y primeros auxilios</t>
  </si>
  <si>
    <t>DIRECCIÓN DE SEGURIDAD FíSICA Y PROTECCIÓN</t>
  </si>
  <si>
    <t>Enith Moron Ramos</t>
  </si>
  <si>
    <t xml:space="preserve">Migración a la nueva metodología  para la Identificación de peligros, evaluación y valoración de riesgos basada en la ISO 31000, revisada y validada por los líderes del procesos. Se hace la identificación de los peligros y evalúan los riesgos, dando alcance al personal administrativo, que interviene en el proceso de seguridad fisica y proteccion.                                                                                                     </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</si>
</sst>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0"/>
      <name val="Arial"/>
      <family val="2"/>
    </font>
    <font>
      <sz val="12"/>
      <name val="Times New Roman"/>
      <family val="1"/>
    </font>
    <font>
      <sz val="11"/>
      <name val="Arial"/>
      <family val="2"/>
    </font>
    <font>
      <b/>
      <sz val="11"/>
      <name val="Arial"/>
      <family val="2"/>
    </font>
    <font>
      <b/>
      <sz val="16"/>
      <color theme="1"/>
      <name val="Tahoma"/>
      <family val="2"/>
    </font>
    <font>
      <b/>
      <sz val="16"/>
      <name val="Tahoma"/>
      <family val="2"/>
    </font>
    <font>
      <sz val="16"/>
      <color theme="1"/>
      <name val="Tahoma"/>
      <family val="2"/>
    </font>
    <font>
      <sz val="16"/>
      <color rgb="FFFF0000"/>
      <name val="Tahoma"/>
      <family val="2"/>
    </font>
    <font>
      <sz val="16"/>
      <name val="Tahoma"/>
      <family val="2"/>
    </font>
    <font>
      <b/>
      <sz val="9"/>
      <name val="Tahoma"/>
      <family val="2"/>
    </font>
    <font>
      <sz val="9"/>
      <name val="Tahoma"/>
      <family val="2"/>
    </font>
    <font>
      <b/>
      <sz val="9"/>
      <color rgb="FF000000"/>
      <name val="Tahoma"/>
      <family val="2"/>
    </font>
    <font>
      <b/>
      <sz val="9"/>
      <color theme="1"/>
      <name val="Tahoma"/>
      <family val="2"/>
    </font>
    <font>
      <sz val="9"/>
      <color theme="1"/>
      <name val="Tahoma"/>
      <family val="2"/>
    </font>
    <font>
      <sz val="9"/>
      <color rgb="FF000000"/>
      <name val="Tahoma"/>
      <family val="2"/>
    </font>
    <font>
      <sz val="12"/>
      <name val="Tahoma"/>
      <family val="2"/>
    </font>
    <font>
      <b/>
      <sz val="18"/>
      <name val="Tahoma"/>
      <family val="2"/>
    </font>
    <font>
      <sz val="11"/>
      <color theme="1"/>
      <name val="Tahoma"/>
      <family val="2"/>
    </font>
    <font>
      <sz val="8"/>
      <name val="Tahoma"/>
      <family val="2"/>
    </font>
    <font>
      <b/>
      <sz val="12"/>
      <name val="Tahoma"/>
      <family val="2"/>
    </font>
    <font>
      <b/>
      <sz val="10"/>
      <name val="Tahoma"/>
      <family val="2"/>
    </font>
    <font>
      <b/>
      <sz val="8"/>
      <name val="Tahoma"/>
      <family val="2"/>
    </font>
    <font>
      <sz val="9"/>
      <color rgb="FFFF0000"/>
      <name val="Tahoma"/>
      <family val="2"/>
    </font>
    <font>
      <b/>
      <sz val="9"/>
      <color indexed="8"/>
      <name val="Tahoma"/>
      <family val="2"/>
    </font>
    <font>
      <b/>
      <sz val="12"/>
      <color rgb="FFFF0000"/>
      <name val="Tahoma"/>
      <family val="2"/>
    </font>
    <font>
      <b/>
      <sz val="11"/>
      <color theme="1"/>
      <name val="Tahoma"/>
      <family val="2"/>
    </font>
    <font>
      <b/>
      <sz val="11"/>
      <name val="Tahoma"/>
      <family val="2"/>
    </font>
    <font>
      <b/>
      <sz val="20"/>
      <color theme="1"/>
      <name val="Tahoma"/>
      <family val="2"/>
    </font>
    <font>
      <sz val="14"/>
      <name val="Tahoma"/>
      <family val="2"/>
    </font>
    <font>
      <sz val="11"/>
      <name val="Calibri"/>
      <family val="2"/>
      <scheme val="minor"/>
    </font>
    <font>
      <sz val="11"/>
      <color rgb="FF000000"/>
      <name val="Calibri"/>
      <family val="2"/>
      <scheme val="minor"/>
    </font>
  </fonts>
  <fills count="25">
    <fill>
      <patternFill patternType="none"/>
    </fill>
    <fill>
      <patternFill patternType="gray125"/>
    </fill>
    <fill>
      <patternFill patternType="solid">
        <fgColor theme="8" tint="0.39997558519241921"/>
        <bgColor indexed="64"/>
      </patternFill>
    </fill>
    <fill>
      <patternFill patternType="solid">
        <fgColor indexed="9"/>
        <bgColor indexed="64"/>
      </patternFill>
    </fill>
    <fill>
      <patternFill patternType="solid">
        <fgColor indexed="11"/>
        <bgColor indexed="64"/>
      </patternFill>
    </fill>
    <fill>
      <patternFill patternType="solid">
        <fgColor indexed="10"/>
        <bgColor indexed="64"/>
      </patternFill>
    </fill>
    <fill>
      <patternFill patternType="solid">
        <fgColor indexed="49"/>
        <bgColor indexed="64"/>
      </patternFill>
    </fill>
    <fill>
      <patternFill patternType="solid">
        <fgColor indexed="53"/>
        <bgColor indexed="64"/>
      </patternFill>
    </fill>
    <fill>
      <patternFill patternType="solid">
        <fgColor theme="0"/>
        <bgColor indexed="64"/>
      </patternFill>
    </fill>
    <fill>
      <patternFill patternType="solid">
        <fgColor rgb="FFFFFF00"/>
        <bgColor indexed="64"/>
      </patternFill>
    </fill>
    <fill>
      <patternFill patternType="solid">
        <fgColor rgb="FFF9A805"/>
        <bgColor indexed="64"/>
      </patternFill>
    </fill>
    <fill>
      <patternFill patternType="solid">
        <fgColor rgb="FF1DE722"/>
        <bgColor indexed="64"/>
      </patternFill>
    </fill>
    <fill>
      <patternFill patternType="solid">
        <fgColor rgb="FFFF000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2F2F2"/>
        <bgColor indexed="64"/>
      </patternFill>
    </fill>
    <fill>
      <patternFill patternType="solid">
        <fgColor rgb="FFFFFFCC"/>
        <bgColor indexed="64"/>
      </patternFill>
    </fill>
    <fill>
      <patternFill patternType="solid">
        <fgColor rgb="FFFFFF00"/>
        <bgColor rgb="FF000000"/>
      </patternFill>
    </fill>
    <fill>
      <patternFill patternType="solid">
        <fgColor rgb="FFFF0000"/>
        <bgColor rgb="FF000000"/>
      </patternFill>
    </fill>
    <fill>
      <patternFill patternType="solid">
        <fgColor rgb="FFD9D9D9"/>
        <bgColor indexed="64"/>
      </patternFill>
    </fill>
    <fill>
      <patternFill patternType="solid">
        <fgColor rgb="FFF2F2F2"/>
        <bgColor rgb="FF000000"/>
      </patternFill>
    </fill>
    <fill>
      <patternFill patternType="solid">
        <fgColor rgb="FFFCF305"/>
        <bgColor rgb="FF000000"/>
      </patternFill>
    </fill>
    <fill>
      <patternFill patternType="solid">
        <fgColor rgb="FF00B050"/>
        <bgColor rgb="FF000000"/>
      </patternFill>
    </fill>
    <fill>
      <patternFill patternType="solid">
        <fgColor rgb="FFF9A805"/>
        <bgColor rgb="FF000000"/>
      </patternFill>
    </fill>
    <fill>
      <patternFill patternType="solid">
        <fgColor rgb="FF00FF00"/>
        <bgColor rgb="FF000000"/>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9" fontId="3" fillId="0" borderId="0" applyFont="0" applyFill="0" applyBorder="0" applyAlignment="0" applyProtection="0"/>
    <xf numFmtId="0" fontId="5" fillId="0" borderId="0"/>
    <xf numFmtId="0" fontId="3" fillId="0" borderId="0"/>
    <xf numFmtId="0" fontId="2" fillId="0" borderId="0"/>
    <xf numFmtId="0" fontId="4" fillId="0" borderId="0"/>
    <xf numFmtId="0" fontId="1" fillId="0" borderId="0"/>
    <xf numFmtId="0" fontId="4" fillId="0" borderId="0"/>
  </cellStyleXfs>
  <cellXfs count="160">
    <xf numFmtId="0" fontId="0" fillId="0" borderId="0" xfId="0"/>
    <xf numFmtId="0" fontId="6" fillId="0" borderId="2" xfId="0" applyFont="1" applyBorder="1" applyAlignment="1">
      <alignment horizontal="left" vertical="center"/>
    </xf>
    <xf numFmtId="0" fontId="6" fillId="0" borderId="2" xfId="2" applyFont="1" applyBorder="1" applyAlignment="1">
      <alignment horizontal="left"/>
    </xf>
    <xf numFmtId="0" fontId="6" fillId="0" borderId="2" xfId="2" applyFont="1" applyBorder="1" applyAlignment="1">
      <alignment vertical="center" wrapText="1"/>
    </xf>
    <xf numFmtId="0" fontId="7" fillId="0" borderId="6" xfId="2" applyFont="1" applyBorder="1" applyAlignment="1">
      <alignment vertical="center" wrapText="1"/>
    </xf>
    <xf numFmtId="0" fontId="7" fillId="0" borderId="2" xfId="2" applyFont="1" applyBorder="1" applyAlignment="1">
      <alignment horizontal="left" vertical="center" wrapText="1"/>
    </xf>
    <xf numFmtId="0" fontId="7" fillId="0" borderId="2" xfId="2" applyFont="1" applyBorder="1" applyAlignment="1">
      <alignment vertical="center"/>
    </xf>
    <xf numFmtId="0" fontId="6" fillId="0" borderId="2" xfId="0" applyFont="1" applyBorder="1" applyAlignment="1">
      <alignment horizontal="center" vertical="center"/>
    </xf>
    <xf numFmtId="0" fontId="7" fillId="0" borderId="2" xfId="2" applyFont="1" applyBorder="1" applyAlignment="1">
      <alignment vertical="center" wrapText="1"/>
    </xf>
    <xf numFmtId="0" fontId="10" fillId="0" borderId="0" xfId="4" applyFont="1"/>
    <xf numFmtId="0" fontId="10" fillId="0" borderId="0" xfId="4" applyFont="1" applyAlignment="1">
      <alignment vertical="center"/>
    </xf>
    <xf numFmtId="0" fontId="10" fillId="0" borderId="0" xfId="4" applyFont="1" applyAlignment="1">
      <alignment vertical="center" wrapText="1"/>
    </xf>
    <xf numFmtId="0" fontId="14" fillId="0" borderId="0" xfId="5" applyFont="1"/>
    <xf numFmtId="0" fontId="14" fillId="0" borderId="2" xfId="5" applyFont="1" applyBorder="1" applyAlignment="1">
      <alignment horizontal="center" vertical="center" wrapText="1"/>
    </xf>
    <xf numFmtId="0" fontId="16" fillId="16" borderId="2" xfId="5" applyFont="1" applyFill="1" applyBorder="1" applyAlignment="1">
      <alignment vertical="center" wrapText="1"/>
    </xf>
    <xf numFmtId="0" fontId="15" fillId="9" borderId="2" xfId="5" applyFont="1" applyFill="1" applyBorder="1" applyAlignment="1">
      <alignment horizontal="left" vertical="center" readingOrder="1"/>
    </xf>
    <xf numFmtId="0" fontId="15" fillId="12" borderId="2" xfId="5" applyFont="1" applyFill="1" applyBorder="1" applyAlignment="1">
      <alignment horizontal="left" vertical="center" readingOrder="1"/>
    </xf>
    <xf numFmtId="0" fontId="17" fillId="0" borderId="2" xfId="5" applyFont="1" applyBorder="1" applyAlignment="1">
      <alignment horizontal="left" vertical="center" wrapText="1"/>
    </xf>
    <xf numFmtId="0" fontId="16" fillId="9" borderId="2" xfId="5" applyFont="1" applyFill="1" applyBorder="1" applyAlignment="1">
      <alignment vertical="center" wrapText="1"/>
    </xf>
    <xf numFmtId="0" fontId="16" fillId="12" borderId="2" xfId="5" applyFont="1" applyFill="1" applyBorder="1" applyAlignment="1">
      <alignment vertical="center" wrapText="1"/>
    </xf>
    <xf numFmtId="0" fontId="15" fillId="17" borderId="2" xfId="5" applyFont="1" applyFill="1" applyBorder="1" applyAlignment="1">
      <alignment horizontal="justify" vertical="center" wrapText="1"/>
    </xf>
    <xf numFmtId="0" fontId="15" fillId="18" borderId="2" xfId="5" applyFont="1" applyFill="1" applyBorder="1" applyAlignment="1">
      <alignment horizontal="justify" vertical="center" wrapText="1"/>
    </xf>
    <xf numFmtId="0" fontId="15" fillId="18" borderId="2" xfId="5" applyFont="1" applyFill="1" applyBorder="1" applyAlignment="1">
      <alignment vertical="center" wrapText="1"/>
    </xf>
    <xf numFmtId="0" fontId="12" fillId="8" borderId="0" xfId="3" applyFont="1" applyFill="1"/>
    <xf numFmtId="0" fontId="12" fillId="0" borderId="0" xfId="3" applyFont="1"/>
    <xf numFmtId="0" fontId="12" fillId="0" borderId="0" xfId="3" applyFont="1" applyAlignment="1">
      <alignment vertical="center" wrapText="1"/>
    </xf>
    <xf numFmtId="0" fontId="10" fillId="0" borderId="0" xfId="3" applyFont="1" applyAlignment="1">
      <alignment horizontal="center"/>
    </xf>
    <xf numFmtId="0" fontId="12" fillId="8" borderId="2" xfId="3" applyFont="1" applyFill="1" applyBorder="1" applyAlignment="1">
      <alignment horizontal="left" vertical="center" wrapText="1"/>
    </xf>
    <xf numFmtId="0" fontId="12" fillId="8" borderId="0" xfId="3" applyFont="1" applyFill="1" applyAlignment="1">
      <alignment horizontal="center"/>
    </xf>
    <xf numFmtId="0" fontId="12" fillId="8" borderId="0" xfId="3" applyFont="1" applyFill="1" applyAlignment="1">
      <alignment horizontal="left"/>
    </xf>
    <xf numFmtId="0" fontId="12" fillId="8" borderId="0" xfId="3" applyFont="1" applyFill="1" applyAlignment="1">
      <alignment horizontal="left" vertical="center"/>
    </xf>
    <xf numFmtId="0" fontId="12" fillId="8" borderId="0" xfId="3" applyFont="1" applyFill="1" applyAlignment="1">
      <alignment horizontal="center" vertical="center"/>
    </xf>
    <xf numFmtId="0" fontId="12" fillId="8" borderId="0" xfId="3" applyFont="1" applyFill="1" applyAlignment="1">
      <alignment horizontal="left" vertical="center" wrapText="1"/>
    </xf>
    <xf numFmtId="0" fontId="19" fillId="3" borderId="0" xfId="0" applyFont="1" applyFill="1"/>
    <xf numFmtId="0" fontId="21" fillId="0" borderId="0" xfId="0" applyFont="1"/>
    <xf numFmtId="0" fontId="22" fillId="3" borderId="0" xfId="0" applyFont="1" applyFill="1"/>
    <xf numFmtId="0" fontId="19" fillId="6" borderId="0" xfId="0" applyFont="1" applyFill="1"/>
    <xf numFmtId="0" fontId="23" fillId="3" borderId="0" xfId="0" applyFont="1" applyFill="1" applyAlignment="1">
      <alignment vertical="center"/>
    </xf>
    <xf numFmtId="0" fontId="23" fillId="3" borderId="0" xfId="0" applyFont="1" applyFill="1" applyAlignment="1">
      <alignment horizontal="center" vertical="center"/>
    </xf>
    <xf numFmtId="0" fontId="24" fillId="4"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4" fillId="10" borderId="2"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23" fillId="3" borderId="4" xfId="0" applyFont="1" applyFill="1" applyBorder="1" applyAlignment="1">
      <alignment horizontal="center" vertical="center"/>
    </xf>
    <xf numFmtId="0" fontId="19" fillId="7" borderId="0" xfId="0" applyFont="1" applyFill="1"/>
    <xf numFmtId="0" fontId="23" fillId="3" borderId="0" xfId="0" applyFont="1" applyFill="1" applyAlignment="1">
      <alignment horizontal="center"/>
    </xf>
    <xf numFmtId="0" fontId="19" fillId="0" borderId="0" xfId="0" applyFont="1" applyAlignment="1">
      <alignment horizontal="center"/>
    </xf>
    <xf numFmtId="0" fontId="23" fillId="3" borderId="0" xfId="0" applyFont="1" applyFill="1" applyAlignment="1">
      <alignment horizontal="center" vertical="center" wrapText="1"/>
    </xf>
    <xf numFmtId="0" fontId="24" fillId="8" borderId="0" xfId="0" applyFont="1" applyFill="1" applyAlignment="1">
      <alignment horizontal="center"/>
    </xf>
    <xf numFmtId="0" fontId="23" fillId="3" borderId="0" xfId="0" applyFont="1" applyFill="1" applyAlignment="1">
      <alignment vertical="center" wrapText="1"/>
    </xf>
    <xf numFmtId="9" fontId="23" fillId="3" borderId="0" xfId="0" applyNumberFormat="1" applyFont="1" applyFill="1" applyAlignment="1">
      <alignment horizontal="center" vertical="center" wrapText="1"/>
    </xf>
    <xf numFmtId="0" fontId="24" fillId="11" borderId="2" xfId="0" applyFont="1" applyFill="1" applyBorder="1" applyAlignment="1">
      <alignment horizontal="center" vertical="center" wrapText="1"/>
    </xf>
    <xf numFmtId="0" fontId="23" fillId="3" borderId="4" xfId="0" applyFont="1" applyFill="1" applyBorder="1" applyAlignment="1">
      <alignment horizontal="center" vertical="center" wrapText="1"/>
    </xf>
    <xf numFmtId="0" fontId="15" fillId="13" borderId="2" xfId="5" applyFont="1" applyFill="1" applyBorder="1" applyAlignment="1">
      <alignment horizontal="left" vertical="center" readingOrder="1"/>
    </xf>
    <xf numFmtId="0" fontId="15" fillId="10" borderId="2" xfId="5" applyFont="1" applyFill="1" applyBorder="1" applyAlignment="1">
      <alignment horizontal="left" vertical="center" readingOrder="1"/>
    </xf>
    <xf numFmtId="0" fontId="16" fillId="13" borderId="2" xfId="5" applyFont="1" applyFill="1" applyBorder="1" applyAlignment="1">
      <alignment vertical="center" wrapText="1"/>
    </xf>
    <xf numFmtId="0" fontId="16" fillId="10" borderId="2" xfId="5" applyFont="1" applyFill="1" applyBorder="1" applyAlignment="1">
      <alignment vertical="center" wrapText="1"/>
    </xf>
    <xf numFmtId="0" fontId="15" fillId="20" borderId="2" xfId="5" applyFont="1" applyFill="1" applyBorder="1" applyAlignment="1">
      <alignment vertical="center" wrapText="1"/>
    </xf>
    <xf numFmtId="0" fontId="15" fillId="21" borderId="2" xfId="5" applyFont="1" applyFill="1" applyBorder="1" applyAlignment="1">
      <alignment vertical="center" wrapText="1"/>
    </xf>
    <xf numFmtId="0" fontId="18" fillId="18" borderId="2" xfId="5" applyFont="1" applyFill="1" applyBorder="1" applyAlignment="1">
      <alignment vertical="center" wrapText="1"/>
    </xf>
    <xf numFmtId="0" fontId="16" fillId="20" borderId="2" xfId="5" applyFont="1" applyFill="1" applyBorder="1" applyAlignment="1">
      <alignment vertical="center" wrapText="1"/>
    </xf>
    <xf numFmtId="0" fontId="18" fillId="21" borderId="2" xfId="5" applyFont="1" applyFill="1" applyBorder="1" applyAlignment="1">
      <alignment vertical="center" wrapText="1"/>
    </xf>
    <xf numFmtId="0" fontId="15" fillId="22" borderId="2" xfId="5" applyFont="1" applyFill="1" applyBorder="1" applyAlignment="1">
      <alignment horizontal="justify" vertical="center" wrapText="1"/>
    </xf>
    <xf numFmtId="0" fontId="18" fillId="0" borderId="2" xfId="5" applyFont="1" applyBorder="1" applyAlignment="1">
      <alignment horizontal="left" vertical="center" wrapText="1"/>
    </xf>
    <xf numFmtId="0" fontId="15" fillId="22" borderId="2" xfId="5" applyFont="1" applyFill="1" applyBorder="1" applyAlignment="1">
      <alignment vertical="center" wrapText="1"/>
    </xf>
    <xf numFmtId="0" fontId="18" fillId="22" borderId="2" xfId="5" applyFont="1" applyFill="1" applyBorder="1" applyAlignment="1">
      <alignment vertical="center" wrapText="1"/>
    </xf>
    <xf numFmtId="0" fontId="15" fillId="23" borderId="2" xfId="5" applyFont="1" applyFill="1" applyBorder="1" applyAlignment="1">
      <alignment vertical="center" wrapText="1"/>
    </xf>
    <xf numFmtId="0" fontId="18" fillId="23" borderId="2" xfId="5" applyFont="1" applyFill="1" applyBorder="1" applyAlignment="1">
      <alignment vertical="center" wrapText="1"/>
    </xf>
    <xf numFmtId="0" fontId="24" fillId="18" borderId="2" xfId="0" applyFont="1" applyFill="1" applyBorder="1" applyAlignment="1">
      <alignment horizontal="center" vertical="center" wrapText="1"/>
    </xf>
    <xf numFmtId="0" fontId="24" fillId="23" borderId="3" xfId="0" applyFont="1" applyFill="1" applyBorder="1" applyAlignment="1">
      <alignment horizontal="center" vertical="center" wrapText="1"/>
    </xf>
    <xf numFmtId="0" fontId="24" fillId="17" borderId="3" xfId="0" applyFont="1" applyFill="1" applyBorder="1" applyAlignment="1">
      <alignment horizontal="center" vertical="center" wrapText="1"/>
    </xf>
    <xf numFmtId="0" fontId="24" fillId="24" borderId="3" xfId="0" applyFont="1" applyFill="1" applyBorder="1" applyAlignment="1">
      <alignment horizontal="center" vertical="center" wrapText="1"/>
    </xf>
    <xf numFmtId="0" fontId="24" fillId="3" borderId="0" xfId="0" applyFont="1" applyFill="1" applyAlignment="1">
      <alignment horizontal="center" vertical="center"/>
    </xf>
    <xf numFmtId="0" fontId="24" fillId="3" borderId="2" xfId="0" applyFont="1" applyFill="1" applyBorder="1" applyAlignment="1">
      <alignment horizontal="left" vertical="center"/>
    </xf>
    <xf numFmtId="0" fontId="23" fillId="3" borderId="2" xfId="0" applyFont="1" applyFill="1" applyBorder="1" applyAlignment="1">
      <alignment horizontal="center" vertical="center"/>
    </xf>
    <xf numFmtId="0" fontId="30" fillId="3" borderId="0" xfId="0" applyFont="1" applyFill="1" applyAlignment="1">
      <alignment horizontal="center" vertical="center" wrapText="1"/>
    </xf>
    <xf numFmtId="0" fontId="12" fillId="0" borderId="0" xfId="4" applyFont="1" applyAlignment="1">
      <alignment vertical="center"/>
    </xf>
    <xf numFmtId="0" fontId="10" fillId="8" borderId="2" xfId="4" applyFont="1" applyFill="1" applyBorder="1" applyAlignment="1">
      <alignment vertical="center" wrapText="1"/>
    </xf>
    <xf numFmtId="0" fontId="12" fillId="0" borderId="2" xfId="6" applyFont="1" applyBorder="1" applyAlignment="1">
      <alignment vertical="center" wrapText="1"/>
    </xf>
    <xf numFmtId="0" fontId="10" fillId="0" borderId="2" xfId="6" applyFont="1" applyBorder="1" applyAlignment="1">
      <alignment vertical="center" wrapText="1"/>
    </xf>
    <xf numFmtId="0" fontId="9" fillId="8" borderId="8" xfId="3" applyFont="1" applyFill="1" applyBorder="1" applyAlignment="1">
      <alignment horizontal="left" vertical="center" wrapText="1"/>
    </xf>
    <xf numFmtId="0" fontId="9" fillId="8" borderId="2" xfId="3" applyFont="1" applyFill="1" applyBorder="1" applyAlignment="1">
      <alignment horizontal="left" vertical="center" wrapText="1"/>
    </xf>
    <xf numFmtId="0" fontId="9" fillId="8" borderId="7" xfId="5" applyFont="1" applyFill="1" applyBorder="1" applyAlignment="1">
      <alignment horizontal="center" vertical="center" wrapText="1"/>
    </xf>
    <xf numFmtId="0" fontId="8" fillId="8" borderId="2" xfId="3" applyFont="1" applyFill="1" applyBorder="1" applyAlignment="1">
      <alignment horizontal="center" vertical="center" textRotation="90" wrapText="1"/>
    </xf>
    <xf numFmtId="0" fontId="9" fillId="8" borderId="2" xfId="5" applyFont="1" applyFill="1" applyBorder="1" applyAlignment="1">
      <alignment horizontal="center" vertical="center" textRotation="90" wrapText="1"/>
    </xf>
    <xf numFmtId="0" fontId="9" fillId="8" borderId="8" xfId="5" applyFont="1" applyFill="1" applyBorder="1" applyAlignment="1">
      <alignment horizontal="center" vertical="center" textRotation="90" wrapText="1"/>
    </xf>
    <xf numFmtId="0" fontId="9" fillId="8" borderId="2" xfId="5" applyFont="1" applyFill="1" applyBorder="1" applyAlignment="1">
      <alignment vertical="center" wrapText="1"/>
    </xf>
    <xf numFmtId="0" fontId="28" fillId="8" borderId="2" xfId="5" applyFont="1" applyFill="1" applyBorder="1" applyAlignment="1" applyProtection="1">
      <alignment horizontal="center" vertical="center" textRotation="255" wrapText="1"/>
      <protection locked="0"/>
    </xf>
    <xf numFmtId="0" fontId="19" fillId="8" borderId="2" xfId="5" applyFont="1" applyFill="1" applyBorder="1" applyAlignment="1" applyProtection="1">
      <alignment horizontal="center" vertical="center" textRotation="255" wrapText="1"/>
      <protection locked="0"/>
    </xf>
    <xf numFmtId="9" fontId="11" fillId="8" borderId="2" xfId="1" applyFont="1" applyFill="1" applyBorder="1" applyAlignment="1" applyProtection="1">
      <alignment horizontal="center" vertical="center" wrapText="1"/>
      <protection locked="0"/>
    </xf>
    <xf numFmtId="0" fontId="19" fillId="8" borderId="2" xfId="5" applyFont="1" applyFill="1" applyBorder="1" applyAlignment="1" applyProtection="1">
      <alignment horizontal="center" vertical="center" wrapText="1"/>
      <protection locked="0"/>
    </xf>
    <xf numFmtId="0" fontId="0" fillId="0" borderId="0" xfId="0" applyAlignment="1">
      <alignment wrapText="1"/>
    </xf>
    <xf numFmtId="0" fontId="30" fillId="2" borderId="2" xfId="2" applyFont="1" applyFill="1" applyBorder="1" applyAlignment="1">
      <alignment horizontal="center" vertical="center"/>
    </xf>
    <xf numFmtId="0" fontId="0" fillId="0" borderId="2" xfId="0" applyBorder="1"/>
    <xf numFmtId="0" fontId="29" fillId="0" borderId="2" xfId="0" applyFont="1" applyBorder="1" applyAlignment="1">
      <alignment vertical="center" wrapText="1"/>
    </xf>
    <xf numFmtId="0" fontId="8" fillId="14" borderId="2" xfId="6" applyFont="1" applyFill="1" applyBorder="1" applyAlignment="1">
      <alignment horizontal="center" vertical="center" wrapText="1"/>
    </xf>
    <xf numFmtId="0" fontId="10" fillId="0" borderId="2" xfId="6" applyFont="1" applyBorder="1" applyAlignment="1">
      <alignment horizontal="left" vertical="center" wrapText="1"/>
    </xf>
    <xf numFmtId="0" fontId="29" fillId="0" borderId="0" xfId="0" applyFont="1" applyAlignment="1">
      <alignment horizontal="center" vertical="center"/>
    </xf>
    <xf numFmtId="0" fontId="29" fillId="0" borderId="0" xfId="0" applyFont="1" applyAlignment="1">
      <alignment vertical="center" wrapText="1"/>
    </xf>
    <xf numFmtId="0" fontId="30" fillId="2" borderId="2" xfId="2" applyFont="1" applyFill="1" applyBorder="1" applyAlignment="1">
      <alignment horizontal="center" vertical="center" wrapText="1"/>
    </xf>
    <xf numFmtId="0" fontId="8" fillId="8" borderId="2" xfId="3" applyFont="1" applyFill="1" applyBorder="1" applyAlignment="1">
      <alignment horizontal="left" vertical="center" wrapText="1"/>
    </xf>
    <xf numFmtId="0" fontId="28" fillId="0" borderId="2" xfId="5" applyFont="1" applyBorder="1" applyAlignment="1" applyProtection="1">
      <alignment horizontal="center" vertical="center" textRotation="255" wrapText="1"/>
      <protection locked="0"/>
    </xf>
    <xf numFmtId="0" fontId="12" fillId="0" borderId="0" xfId="3" applyFont="1" applyAlignment="1">
      <alignment horizontal="center" vertical="center"/>
    </xf>
    <xf numFmtId="0" fontId="10" fillId="8" borderId="2" xfId="6" applyFont="1" applyFill="1" applyBorder="1" applyAlignment="1">
      <alignment horizontal="center" vertical="center" wrapText="1"/>
    </xf>
    <xf numFmtId="0" fontId="10" fillId="8" borderId="2" xfId="6" applyFont="1" applyFill="1" applyBorder="1" applyAlignment="1">
      <alignment vertical="center" wrapText="1"/>
    </xf>
    <xf numFmtId="0" fontId="12" fillId="8" borderId="2" xfId="6" applyFont="1" applyFill="1" applyBorder="1" applyAlignment="1">
      <alignment vertical="center" wrapText="1"/>
    </xf>
    <xf numFmtId="0" fontId="10" fillId="8" borderId="2" xfId="4" applyFont="1" applyFill="1" applyBorder="1" applyAlignment="1">
      <alignment horizontal="center" vertical="center" wrapText="1"/>
    </xf>
    <xf numFmtId="0" fontId="33" fillId="0" borderId="2" xfId="0" applyFont="1" applyBorder="1" applyAlignment="1">
      <alignment horizontal="center" vertical="center"/>
    </xf>
    <xf numFmtId="0" fontId="33" fillId="0" borderId="2" xfId="0" applyFont="1" applyBorder="1" applyAlignment="1">
      <alignment horizontal="justify" vertical="top" wrapText="1"/>
    </xf>
    <xf numFmtId="14" fontId="33" fillId="0" borderId="2" xfId="0" applyNumberFormat="1" applyFont="1" applyBorder="1" applyAlignment="1">
      <alignment horizontal="center" vertical="center" wrapText="1"/>
    </xf>
    <xf numFmtId="0" fontId="34" fillId="0" borderId="2" xfId="0" applyFont="1" applyBorder="1" applyAlignment="1">
      <alignment horizontal="center" vertical="center"/>
    </xf>
    <xf numFmtId="0" fontId="30" fillId="8" borderId="2" xfId="2" applyFont="1" applyFill="1" applyBorder="1" applyAlignment="1">
      <alignment horizontal="center" vertical="center"/>
    </xf>
    <xf numFmtId="0" fontId="29" fillId="0" borderId="8" xfId="0" applyFont="1" applyBorder="1" applyAlignment="1">
      <alignment horizontal="center" vertical="center"/>
    </xf>
    <xf numFmtId="0" fontId="29" fillId="0" borderId="10" xfId="0" applyFont="1" applyBorder="1" applyAlignment="1">
      <alignment horizontal="center" vertical="center"/>
    </xf>
    <xf numFmtId="0" fontId="32" fillId="8" borderId="1" xfId="3" applyFont="1" applyFill="1" applyBorder="1" applyAlignment="1">
      <alignment horizontal="center" vertical="center" wrapText="1"/>
    </xf>
    <xf numFmtId="0" fontId="32" fillId="8" borderId="5" xfId="3" applyFont="1" applyFill="1" applyBorder="1" applyAlignment="1">
      <alignment horizontal="center" vertical="center" wrapText="1"/>
    </xf>
    <xf numFmtId="0" fontId="12" fillId="8" borderId="1" xfId="3" applyFont="1" applyFill="1" applyBorder="1" applyAlignment="1">
      <alignment horizontal="center" vertical="center" wrapText="1"/>
    </xf>
    <xf numFmtId="0" fontId="12" fillId="8" borderId="5" xfId="3" applyFont="1" applyFill="1" applyBorder="1" applyAlignment="1">
      <alignment horizontal="center" vertical="center" wrapText="1"/>
    </xf>
    <xf numFmtId="0" fontId="9" fillId="8" borderId="8" xfId="3" applyFont="1" applyFill="1" applyBorder="1" applyAlignment="1">
      <alignment horizontal="left" vertical="center" wrapText="1"/>
    </xf>
    <xf numFmtId="0" fontId="9" fillId="8" borderId="9" xfId="3" applyFont="1" applyFill="1" applyBorder="1" applyAlignment="1">
      <alignment horizontal="left" vertical="center" wrapText="1"/>
    </xf>
    <xf numFmtId="0" fontId="9" fillId="8" borderId="10" xfId="3" applyFont="1" applyFill="1" applyBorder="1" applyAlignment="1">
      <alignment horizontal="left" vertical="center" wrapText="1"/>
    </xf>
    <xf numFmtId="14" fontId="9" fillId="8" borderId="8" xfId="3" applyNumberFormat="1" applyFont="1" applyFill="1" applyBorder="1" applyAlignment="1">
      <alignment horizontal="left" vertical="center" wrapText="1"/>
    </xf>
    <xf numFmtId="0" fontId="8" fillId="8" borderId="1" xfId="6" applyFont="1" applyFill="1" applyBorder="1" applyAlignment="1">
      <alignment horizontal="center" vertical="center" wrapText="1"/>
    </xf>
    <xf numFmtId="0" fontId="8" fillId="8" borderId="3" xfId="6" applyFont="1" applyFill="1" applyBorder="1" applyAlignment="1">
      <alignment horizontal="center" vertical="center" wrapText="1"/>
    </xf>
    <xf numFmtId="0" fontId="9" fillId="8" borderId="5" xfId="5" applyFont="1" applyFill="1" applyBorder="1" applyAlignment="1">
      <alignment horizontal="center" vertical="center" textRotation="90" wrapText="1"/>
    </xf>
    <xf numFmtId="0" fontId="9" fillId="8" borderId="3" xfId="5" applyFont="1" applyFill="1" applyBorder="1" applyAlignment="1">
      <alignment horizontal="center" vertical="center" textRotation="90" wrapText="1"/>
    </xf>
    <xf numFmtId="0" fontId="9" fillId="8" borderId="2" xfId="5" applyFont="1" applyFill="1" applyBorder="1" applyAlignment="1">
      <alignment horizontal="center" vertical="center" wrapText="1"/>
    </xf>
    <xf numFmtId="0" fontId="9" fillId="0" borderId="5" xfId="5" applyFont="1" applyBorder="1" applyAlignment="1">
      <alignment horizontal="center" vertical="center" textRotation="90" wrapText="1"/>
    </xf>
    <xf numFmtId="0" fontId="9" fillId="0" borderId="3" xfId="5" applyFont="1" applyBorder="1" applyAlignment="1">
      <alignment horizontal="center" vertical="center" textRotation="90" wrapText="1"/>
    </xf>
    <xf numFmtId="0" fontId="9" fillId="8" borderId="8" xfId="5" applyFont="1" applyFill="1" applyBorder="1" applyAlignment="1">
      <alignment horizontal="center" vertical="center" wrapText="1"/>
    </xf>
    <xf numFmtId="0" fontId="9" fillId="8" borderId="9" xfId="5" applyFont="1" applyFill="1" applyBorder="1" applyAlignment="1">
      <alignment horizontal="center" vertical="center" wrapText="1"/>
    </xf>
    <xf numFmtId="0" fontId="9" fillId="8" borderId="10" xfId="5" applyFont="1" applyFill="1" applyBorder="1" applyAlignment="1">
      <alignment horizontal="center" vertical="center" wrapText="1"/>
    </xf>
    <xf numFmtId="0" fontId="9" fillId="8" borderId="5" xfId="5" applyFont="1" applyFill="1" applyBorder="1" applyAlignment="1">
      <alignment horizontal="center" vertical="center" wrapText="1"/>
    </xf>
    <xf numFmtId="0" fontId="9" fillId="8" borderId="3" xfId="5" applyFont="1" applyFill="1" applyBorder="1" applyAlignment="1">
      <alignment horizontal="center" vertical="center" wrapText="1"/>
    </xf>
    <xf numFmtId="0" fontId="9" fillId="8" borderId="1" xfId="5" applyFont="1" applyFill="1" applyBorder="1" applyAlignment="1">
      <alignment horizontal="center" vertical="center" textRotation="90" wrapText="1"/>
    </xf>
    <xf numFmtId="0" fontId="31" fillId="8" borderId="9" xfId="3" applyFont="1" applyFill="1" applyBorder="1" applyAlignment="1">
      <alignment horizontal="center" vertical="center"/>
    </xf>
    <xf numFmtId="0" fontId="8" fillId="8" borderId="8" xfId="3" applyFont="1" applyFill="1" applyBorder="1" applyAlignment="1">
      <alignment horizontal="center" vertical="center"/>
    </xf>
    <xf numFmtId="0" fontId="8" fillId="8" borderId="9" xfId="3" applyFont="1" applyFill="1" applyBorder="1" applyAlignment="1">
      <alignment horizontal="center" vertical="center"/>
    </xf>
    <xf numFmtId="0" fontId="8" fillId="8" borderId="2" xfId="3" applyFont="1" applyFill="1" applyBorder="1" applyAlignment="1">
      <alignment horizontal="center" vertical="center" wrapText="1"/>
    </xf>
    <xf numFmtId="0" fontId="16" fillId="8" borderId="8" xfId="3" applyFont="1" applyFill="1" applyBorder="1" applyAlignment="1">
      <alignment horizontal="center" vertical="center" wrapText="1"/>
    </xf>
    <xf numFmtId="0" fontId="16" fillId="8" borderId="10" xfId="3" applyFont="1" applyFill="1" applyBorder="1" applyAlignment="1">
      <alignment horizontal="center" vertical="center" wrapText="1"/>
    </xf>
    <xf numFmtId="0" fontId="16" fillId="8" borderId="9" xfId="3" applyFont="1" applyFill="1" applyBorder="1" applyAlignment="1">
      <alignment horizontal="center" vertical="center" wrapText="1"/>
    </xf>
    <xf numFmtId="0" fontId="8" fillId="8" borderId="1" xfId="3" applyFont="1" applyFill="1" applyBorder="1" applyAlignment="1">
      <alignment horizontal="center" vertical="center" wrapText="1"/>
    </xf>
    <xf numFmtId="0" fontId="8" fillId="8" borderId="3" xfId="3" applyFont="1" applyFill="1" applyBorder="1" applyAlignment="1">
      <alignment horizontal="center" vertical="center" wrapText="1"/>
    </xf>
    <xf numFmtId="0" fontId="23" fillId="8" borderId="5" xfId="5" applyFont="1" applyFill="1" applyBorder="1" applyAlignment="1">
      <alignment horizontal="center" vertical="center" textRotation="90" wrapText="1"/>
    </xf>
    <xf numFmtId="0" fontId="23" fillId="8" borderId="3" xfId="5" applyFont="1" applyFill="1" applyBorder="1" applyAlignment="1">
      <alignment horizontal="center" vertical="center" textRotation="90" wrapText="1"/>
    </xf>
    <xf numFmtId="0" fontId="12" fillId="8" borderId="3" xfId="3" applyFont="1" applyFill="1" applyBorder="1" applyAlignment="1">
      <alignment horizontal="center" vertical="center" wrapText="1"/>
    </xf>
    <xf numFmtId="0" fontId="15" fillId="15" borderId="8" xfId="5" applyFont="1" applyFill="1" applyBorder="1" applyAlignment="1">
      <alignment horizontal="center" vertical="center" wrapText="1"/>
    </xf>
    <xf numFmtId="0" fontId="15" fillId="15" borderId="10" xfId="5" applyFont="1" applyFill="1" applyBorder="1" applyAlignment="1">
      <alignment horizontal="center" vertical="center" wrapText="1"/>
    </xf>
    <xf numFmtId="0" fontId="13" fillId="15" borderId="2" xfId="5" applyFont="1" applyFill="1" applyBorder="1" applyAlignment="1">
      <alignment horizontal="center" vertical="center" wrapText="1"/>
    </xf>
    <xf numFmtId="0" fontId="13" fillId="19" borderId="8" xfId="5" applyFont="1" applyFill="1" applyBorder="1" applyAlignment="1">
      <alignment horizontal="center" vertical="center" wrapText="1"/>
    </xf>
    <xf numFmtId="0" fontId="13" fillId="19" borderId="10" xfId="5" applyFont="1" applyFill="1" applyBorder="1" applyAlignment="1">
      <alignment horizontal="center" vertical="center" wrapText="1"/>
    </xf>
    <xf numFmtId="0" fontId="23" fillId="3" borderId="0" xfId="0" applyFont="1" applyFill="1" applyAlignment="1">
      <alignment horizontal="center"/>
    </xf>
    <xf numFmtId="0" fontId="29" fillId="14" borderId="0" xfId="0" applyFont="1" applyFill="1" applyAlignment="1">
      <alignment horizontal="center" vertical="center"/>
    </xf>
    <xf numFmtId="0" fontId="20" fillId="3" borderId="0" xfId="0" applyFont="1" applyFill="1" applyAlignment="1">
      <alignment horizontal="center"/>
    </xf>
    <xf numFmtId="0" fontId="23" fillId="3" borderId="0" xfId="0" applyFont="1" applyFill="1" applyAlignment="1">
      <alignment horizontal="center" vertical="center" wrapText="1"/>
    </xf>
    <xf numFmtId="0" fontId="23" fillId="14" borderId="0" xfId="0" applyFont="1" applyFill="1" applyAlignment="1">
      <alignment horizontal="center" vertical="center" wrapText="1"/>
    </xf>
    <xf numFmtId="0" fontId="23" fillId="3" borderId="0" xfId="0" applyFont="1" applyFill="1" applyAlignment="1">
      <alignment horizontal="center" textRotation="90" wrapText="1"/>
    </xf>
    <xf numFmtId="0" fontId="23" fillId="14" borderId="0" xfId="0" applyFont="1" applyFill="1" applyAlignment="1">
      <alignment horizontal="center" vertical="center" textRotation="90"/>
    </xf>
    <xf numFmtId="0" fontId="25" fillId="14" borderId="0" xfId="0" applyFont="1" applyFill="1" applyAlignment="1">
      <alignment horizontal="center" vertical="center" textRotation="90" wrapText="1"/>
    </xf>
  </cellXfs>
  <cellStyles count="8">
    <cellStyle name="Normal" xfId="0" builtinId="0"/>
    <cellStyle name="Normal 10" xfId="5"/>
    <cellStyle name="Normal 2" xfId="2"/>
    <cellStyle name="Normal 2 2" xfId="7"/>
    <cellStyle name="Normal 3" xfId="3"/>
    <cellStyle name="Normal 6" xfId="4"/>
    <cellStyle name="Normal 6 2" xfId="6"/>
    <cellStyle name="Porcentaje" xfId="1" builtinId="5"/>
  </cellStyles>
  <dxfs count="382">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auto="1"/>
      </font>
      <fill>
        <patternFill>
          <bgColor rgb="FFFFC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00FF00"/>
      <color rgb="FFF9A805"/>
      <color rgb="FFFF0000"/>
      <color rgb="FF85CA3A"/>
      <color rgb="FFFF6600"/>
      <color rgb="FFFF3300"/>
      <color rgb="FFEAA316"/>
      <color rgb="FF1DE7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85725</xdr:rowOff>
    </xdr:from>
    <xdr:to>
      <xdr:col>0</xdr:col>
      <xdr:colOff>1458711</xdr:colOff>
      <xdr:row>0</xdr:row>
      <xdr:rowOff>676276</xdr:rowOff>
    </xdr:to>
    <xdr:pic>
      <xdr:nvPicPr>
        <xdr:cNvPr id="2" name="Picture 1">
          <a:extLst>
            <a:ext uri="{FF2B5EF4-FFF2-40B4-BE49-F238E27FC236}">
              <a16:creationId xmlns="" xmlns:a16="http://schemas.microsoft.com/office/drawing/2014/main" id="{69E1628B-2E94-47EE-B78B-14A9F3E2F57A}"/>
            </a:ext>
          </a:extLst>
        </xdr:cNvPr>
        <xdr:cNvPicPr>
          <a:picLocks noChangeAspect="1"/>
        </xdr:cNvPicPr>
      </xdr:nvPicPr>
      <xdr:blipFill>
        <a:blip xmlns:r="http://schemas.openxmlformats.org/officeDocument/2006/relationships" r:embed="rId1"/>
        <a:stretch>
          <a:fillRect/>
        </a:stretch>
      </xdr:blipFill>
      <xdr:spPr>
        <a:xfrm>
          <a:off x="0" y="85725"/>
          <a:ext cx="1458711" cy="590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343615</xdr:colOff>
      <xdr:row>0</xdr:row>
      <xdr:rowOff>1070133</xdr:rowOff>
    </xdr:to>
    <xdr:pic>
      <xdr:nvPicPr>
        <xdr:cNvPr id="3" name="Imagen 2">
          <a:extLst>
            <a:ext uri="{FF2B5EF4-FFF2-40B4-BE49-F238E27FC236}">
              <a16:creationId xmlns="" xmlns:a16="http://schemas.microsoft.com/office/drawing/2014/main" id="{8C5C95BB-BDC4-3206-2778-4CBB78C866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121615" cy="10701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3</xdr:col>
      <xdr:colOff>654281</xdr:colOff>
      <xdr:row>50</xdr:row>
      <xdr:rowOff>70139</xdr:rowOff>
    </xdr:to>
    <xdr:pic>
      <xdr:nvPicPr>
        <xdr:cNvPr id="2" name="Imagen 1">
          <a:extLst>
            <a:ext uri="{FF2B5EF4-FFF2-40B4-BE49-F238E27FC236}">
              <a16:creationId xmlns="" xmlns:a16="http://schemas.microsoft.com/office/drawing/2014/main" id="{332C5C79-0427-4BA0-B52B-06D6587656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143182"/>
          <a:ext cx="5965190" cy="2771775"/>
        </a:xfrm>
        <a:prstGeom prst="rect">
          <a:avLst/>
        </a:prstGeom>
        <a:noFill/>
        <a:ln>
          <a:noFill/>
        </a:ln>
      </xdr:spPr>
    </xdr:pic>
    <xdr:clientData/>
  </xdr:twoCellAnchor>
  <xdr:twoCellAnchor editAs="oneCell">
    <xdr:from>
      <xdr:col>0</xdr:col>
      <xdr:colOff>34636</xdr:colOff>
      <xdr:row>14</xdr:row>
      <xdr:rowOff>25977</xdr:rowOff>
    </xdr:from>
    <xdr:to>
      <xdr:col>3</xdr:col>
      <xdr:colOff>476827</xdr:colOff>
      <xdr:row>14</xdr:row>
      <xdr:rowOff>3619442</xdr:rowOff>
    </xdr:to>
    <xdr:pic>
      <xdr:nvPicPr>
        <xdr:cNvPr id="3" name="Imagen 2">
          <a:extLst>
            <a:ext uri="{FF2B5EF4-FFF2-40B4-BE49-F238E27FC236}">
              <a16:creationId xmlns="" xmlns:a16="http://schemas.microsoft.com/office/drawing/2014/main" id="{851BADF8-217A-5897-0776-5EF553A8EAA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1672"/>
        <a:stretch/>
      </xdr:blipFill>
      <xdr:spPr bwMode="auto">
        <a:xfrm>
          <a:off x="34636" y="7516091"/>
          <a:ext cx="5074805" cy="3593465"/>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10</xdr:row>
      <xdr:rowOff>50801</xdr:rowOff>
    </xdr:from>
    <xdr:to>
      <xdr:col>11</xdr:col>
      <xdr:colOff>85725</xdr:colOff>
      <xdr:row>12</xdr:row>
      <xdr:rowOff>177801</xdr:rowOff>
    </xdr:to>
    <xdr:sp macro="" textlink="">
      <xdr:nvSpPr>
        <xdr:cNvPr id="2" name="AutoShape 2">
          <a:extLst>
            <a:ext uri="{FF2B5EF4-FFF2-40B4-BE49-F238E27FC236}">
              <a16:creationId xmlns="" xmlns:a16="http://schemas.microsoft.com/office/drawing/2014/main" id="{432CF9D1-CBD1-40E7-9726-6BC08DD3F3D2}"/>
            </a:ext>
          </a:extLst>
        </xdr:cNvPr>
        <xdr:cNvSpPr>
          <a:spLocks noChangeArrowheads="1"/>
        </xdr:cNvSpPr>
      </xdr:nvSpPr>
      <xdr:spPr bwMode="auto">
        <a:xfrm rot="5400000">
          <a:off x="8704263" y="7437438"/>
          <a:ext cx="533400" cy="288925"/>
        </a:xfrm>
        <a:prstGeom prst="flowChartExtract">
          <a:avLst/>
        </a:prstGeom>
        <a:solidFill>
          <a:srgbClr val="FF6600"/>
        </a:solidFill>
        <a:ln w="9525">
          <a:noFill/>
          <a:miter lim="800000"/>
          <a:headEnd/>
          <a:tailEnd/>
        </a:ln>
      </xdr:spPr>
    </xdr:sp>
    <xdr:clientData/>
  </xdr:twoCellAnchor>
  <xdr:twoCellAnchor>
    <xdr:from>
      <xdr:col>0</xdr:col>
      <xdr:colOff>98425</xdr:colOff>
      <xdr:row>0</xdr:row>
      <xdr:rowOff>257175</xdr:rowOff>
    </xdr:from>
    <xdr:to>
      <xdr:col>2</xdr:col>
      <xdr:colOff>117475</xdr:colOff>
      <xdr:row>2</xdr:row>
      <xdr:rowOff>0</xdr:rowOff>
    </xdr:to>
    <xdr:sp macro="" textlink="">
      <xdr:nvSpPr>
        <xdr:cNvPr id="3" name="AutoShape 3">
          <a:extLst>
            <a:ext uri="{FF2B5EF4-FFF2-40B4-BE49-F238E27FC236}">
              <a16:creationId xmlns="" xmlns:a16="http://schemas.microsoft.com/office/drawing/2014/main" id="{462F11BB-2504-4534-AD28-036E4B0CA966}"/>
            </a:ext>
          </a:extLst>
        </xdr:cNvPr>
        <xdr:cNvSpPr>
          <a:spLocks noChangeArrowheads="1"/>
        </xdr:cNvSpPr>
      </xdr:nvSpPr>
      <xdr:spPr bwMode="auto">
        <a:xfrm>
          <a:off x="98425" y="257175"/>
          <a:ext cx="425450" cy="377825"/>
        </a:xfrm>
        <a:prstGeom prst="flowChartExtract">
          <a:avLst/>
        </a:prstGeom>
        <a:solidFill>
          <a:srgbClr val="33CCCC"/>
        </a:solidFill>
        <a:ln w="9525">
          <a:noFill/>
          <a:miter lim="800000"/>
          <a:headEnd/>
          <a:tailEnd/>
        </a:ln>
      </xdr:spPr>
    </xdr:sp>
    <xdr:clientData/>
  </xdr:twoCellAnchor>
  <xdr:twoCellAnchor>
    <xdr:from>
      <xdr:col>10</xdr:col>
      <xdr:colOff>0</xdr:colOff>
      <xdr:row>21</xdr:row>
      <xdr:rowOff>63502</xdr:rowOff>
    </xdr:from>
    <xdr:to>
      <xdr:col>10</xdr:col>
      <xdr:colOff>190500</xdr:colOff>
      <xdr:row>23</xdr:row>
      <xdr:rowOff>152404</xdr:rowOff>
    </xdr:to>
    <xdr:sp macro="" textlink="">
      <xdr:nvSpPr>
        <xdr:cNvPr id="4" name="AutoShape 2">
          <a:extLst>
            <a:ext uri="{FF2B5EF4-FFF2-40B4-BE49-F238E27FC236}">
              <a16:creationId xmlns="" xmlns:a16="http://schemas.microsoft.com/office/drawing/2014/main" id="{75721C8C-3B35-C641-A723-66CCAF7C28D1}"/>
            </a:ext>
          </a:extLst>
        </xdr:cNvPr>
        <xdr:cNvSpPr>
          <a:spLocks noChangeArrowheads="1"/>
        </xdr:cNvSpPr>
      </xdr:nvSpPr>
      <xdr:spPr bwMode="auto">
        <a:xfrm rot="5400000">
          <a:off x="7450136" y="12657140"/>
          <a:ext cx="495302" cy="200026"/>
        </a:xfrm>
        <a:prstGeom prst="flowChartExtract">
          <a:avLst/>
        </a:prstGeom>
        <a:solidFill>
          <a:srgbClr val="FF6600"/>
        </a:solidFill>
        <a:ln w="9525">
          <a:noFill/>
          <a:miter lim="800000"/>
          <a:headEnd/>
          <a:tailEnd/>
        </a:ln>
      </xdr:spPr>
    </xdr:sp>
    <xdr:clientData/>
  </xdr:twoCellAnchor>
  <xdr:twoCellAnchor>
    <xdr:from>
      <xdr:col>0</xdr:col>
      <xdr:colOff>85725</xdr:colOff>
      <xdr:row>14</xdr:row>
      <xdr:rowOff>0</xdr:rowOff>
    </xdr:from>
    <xdr:to>
      <xdr:col>2</xdr:col>
      <xdr:colOff>123825</xdr:colOff>
      <xdr:row>15</xdr:row>
      <xdr:rowOff>19050</xdr:rowOff>
    </xdr:to>
    <xdr:sp macro="" textlink="">
      <xdr:nvSpPr>
        <xdr:cNvPr id="5" name="AutoShape 3">
          <a:extLst>
            <a:ext uri="{FF2B5EF4-FFF2-40B4-BE49-F238E27FC236}">
              <a16:creationId xmlns="" xmlns:a16="http://schemas.microsoft.com/office/drawing/2014/main" id="{A7EC7E5D-8409-E642-98BF-C554938BD30B}"/>
            </a:ext>
          </a:extLst>
        </xdr:cNvPr>
        <xdr:cNvSpPr>
          <a:spLocks noChangeArrowheads="1"/>
        </xdr:cNvSpPr>
      </xdr:nvSpPr>
      <xdr:spPr bwMode="auto">
        <a:xfrm>
          <a:off x="85725" y="9728200"/>
          <a:ext cx="320675" cy="273050"/>
        </a:xfrm>
        <a:prstGeom prst="flowChartExtract">
          <a:avLst/>
        </a:prstGeom>
        <a:solidFill>
          <a:srgbClr val="33CCCC"/>
        </a:solid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c801\SST\Documents%20and%20Settings\brodriguez\Configuraci&#243;n%20local\Archivos%20temporales%20de%20Internet\OLK11\MATRIZ%20ETES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c801\SST\Users\almasorayaarangoruiz\Downloads\h-003_herramienta%20gestion%20de%20riesgos%20_%20v7b0.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Users\GPERDOMO\Documents\1.%20Empresa%20familiar\1.%20Proyectos%202017\1.%20Proyecto%20sena+intersoftware\3.%20Talleres%20Perceptio\1.%20BOM\1.%20Conceptos%20Percepti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rec801\SST\Users\cstand\Downloads\h-003_herramienta%20gestion%20de%20riesgos%20_%20v7%20Con%20observaciones%20sobre%20SST.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rec801\SST\Users\ALMA%20SORAYA\Desktop\PANORAMA%20DE%20FACTORES%20DE%20RIESGOS%20ACTUALIZADO%202010%20-%20Copy%2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rec801\SST\Users\AlmaArangoR\Desktop\GESTI&#211;N%20DEL%20RIESGO%20ISO%2031000\Documents%20and%20Settings\AGAVIRIA\Configuraci&#243;n%20local\Archivos%20temporales%20de%20Internet\Content.IE5\8967C9EF\Datos%20Flota%20Conductor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rec801\SST\Users\SST\AppData\Local\Microsoft\Windows\Temporary%20Internet%20Files\Content.Outlook\8N7KE2P1\file:\H:\CARACTERIZACION%20ANGEL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DAVL\Desktop\AAA%20INFO\MATRIZ%20DE%20RIESGO\IPEVR_MATRIZ%20DE%20RIESGOS%20DE%20SST-%20PROCESO%20LABORATORIO%20CONTROL%20CALIDAD%20Ver_0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BASE1"/>
      <sheetName val="GRADO1"/>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NORAMA RIESGO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sheetName val="Crecimient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Z DE ANALISIS"/>
      <sheetName val="PANORAMA RIESGOS"/>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VO"/>
      <sheetName val="CARACTERIZACIÓN DE OFICIOS "/>
      <sheetName val="EJEMPLO"/>
      <sheetName val="Matriz de Peligros"/>
    </sheetNames>
    <sheetDataSet>
      <sheetData sheetId="0" refreshError="1"/>
      <sheetData sheetId="1" refreshError="1"/>
      <sheetData sheetId="2" refreshError="1"/>
      <sheetData sheetId="3" refreshError="1">
        <row r="495">
          <cell r="CG495">
            <v>2</v>
          </cell>
          <cell r="CH495" t="str">
            <v>Bajo</v>
          </cell>
          <cell r="CJ495">
            <v>20</v>
          </cell>
          <cell r="CK495" t="str">
            <v>IV Mantener las medidas de control existentes, pero se deberían considerar soluciones o mejoras y se deben hacer comprobaciones periódicas para asegurar que el riesgo aún es tolerable.</v>
          </cell>
          <cell r="CL495" t="str">
            <v>Aceptable</v>
          </cell>
        </row>
        <row r="496">
          <cell r="CG496">
            <v>4</v>
          </cell>
          <cell r="CH496" t="str">
            <v>Bajo</v>
          </cell>
          <cell r="CJ496">
            <v>40</v>
          </cell>
          <cell r="CK496" t="str">
            <v xml:space="preserve">III Mejorar si es posible.  Sería conveniente justificar la intervención y su rentabilidad. </v>
          </cell>
          <cell r="CL496" t="str">
            <v>Aceptable</v>
          </cell>
        </row>
        <row r="497">
          <cell r="CG497">
            <v>6</v>
          </cell>
          <cell r="CH497" t="str">
            <v>Medio</v>
          </cell>
          <cell r="CJ497">
            <v>50</v>
          </cell>
          <cell r="CK497" t="str">
            <v xml:space="preserve">III Mejorar si es posible.  Sería conveniente justificar la intervención y su rentabilidad. </v>
          </cell>
          <cell r="CL497" t="str">
            <v>Aceptable</v>
          </cell>
        </row>
        <row r="498">
          <cell r="CG498">
            <v>8</v>
          </cell>
          <cell r="CH498" t="str">
            <v>Medio</v>
          </cell>
          <cell r="CJ498">
            <v>60</v>
          </cell>
          <cell r="CK498" t="str">
            <v xml:space="preserve">III Mejorar si es posible.  Sería conveniente justificar la intervención y su rentabilidad. </v>
          </cell>
          <cell r="CL498" t="str">
            <v>Aceptable</v>
          </cell>
        </row>
        <row r="499">
          <cell r="CG499">
            <v>10</v>
          </cell>
          <cell r="CH499" t="str">
            <v>Alto</v>
          </cell>
          <cell r="CJ499">
            <v>80</v>
          </cell>
          <cell r="CK499" t="str">
            <v xml:space="preserve">III Mejorar si es posible.  Sería conveniente justificar la intervención y su rentabilidad. </v>
          </cell>
          <cell r="CL499" t="str">
            <v>Aceptable</v>
          </cell>
        </row>
        <row r="500">
          <cell r="CG500">
            <v>12</v>
          </cell>
          <cell r="CH500" t="str">
            <v>Alto</v>
          </cell>
          <cell r="CJ500">
            <v>100</v>
          </cell>
          <cell r="CK500" t="str">
            <v xml:space="preserve">III Mejorar si es posible.  Sería conveniente justificar la intervención y su rentabilidad. </v>
          </cell>
          <cell r="CL500" t="str">
            <v>Aceptable</v>
          </cell>
        </row>
        <row r="501">
          <cell r="CG501">
            <v>18</v>
          </cell>
          <cell r="CH501" t="str">
            <v>Alto</v>
          </cell>
          <cell r="CJ501">
            <v>120</v>
          </cell>
          <cell r="CK501" t="str">
            <v xml:space="preserve">III Mejorar si es posible.  Sería conveniente justificar la intervención y su rentabilidad. </v>
          </cell>
          <cell r="CL501" t="str">
            <v>Aceptable</v>
          </cell>
        </row>
        <row r="502">
          <cell r="CG502">
            <v>20</v>
          </cell>
          <cell r="CH502" t="str">
            <v>Alto</v>
          </cell>
          <cell r="CJ502">
            <v>150</v>
          </cell>
          <cell r="CK502" t="str">
            <v>II Corregir y adoptar medidas de control inmediato.  Sin embargo, suspenda actividades si el nivel de consecuencia está por encima de 60.</v>
          </cell>
          <cell r="CL502" t="str">
            <v>No Aceptable</v>
          </cell>
        </row>
        <row r="503">
          <cell r="CG503">
            <v>24</v>
          </cell>
          <cell r="CH503" t="str">
            <v>Muy Alto</v>
          </cell>
          <cell r="CJ503">
            <v>200</v>
          </cell>
          <cell r="CK503" t="str">
            <v>II Corregir y adoptar medidas de control inmediato.  Sin embargo, suspenda actividades si el nivel de consecuencia está por encima de 60.</v>
          </cell>
          <cell r="CL503" t="str">
            <v>No Aceptable</v>
          </cell>
        </row>
        <row r="504">
          <cell r="CG504">
            <v>30</v>
          </cell>
          <cell r="CH504" t="str">
            <v>Muy Alto</v>
          </cell>
          <cell r="CJ504">
            <v>240</v>
          </cell>
          <cell r="CK504" t="str">
            <v>II Corregir y adoptar medidas de control inmediato.  Sin embargo, suspenda actividades si el nivel de consecuencia está por encima de 60.</v>
          </cell>
          <cell r="CL504" t="str">
            <v>No Aceptable</v>
          </cell>
        </row>
        <row r="505">
          <cell r="CG505">
            <v>40</v>
          </cell>
          <cell r="CH505" t="str">
            <v>Muy Alto</v>
          </cell>
          <cell r="CJ505">
            <v>250</v>
          </cell>
          <cell r="CK505" t="str">
            <v>II Corregir y adoptar medidas de control inmediato.  Sin embargo, suspenda actividades si el nivel de consecuencia está por encima de 60.</v>
          </cell>
          <cell r="CL505" t="str">
            <v>No Aceptable</v>
          </cell>
        </row>
        <row r="506">
          <cell r="CJ506">
            <v>360</v>
          </cell>
          <cell r="CK506" t="str">
            <v>II Corregir y adoptar medidas de control inmediato.  Sin embargo, suspenda actividades si el nivel de consecuencia está por encima de 60.</v>
          </cell>
          <cell r="CL506" t="str">
            <v>No Aceptable</v>
          </cell>
        </row>
        <row r="507">
          <cell r="CJ507">
            <v>400</v>
          </cell>
          <cell r="CK507" t="str">
            <v>II Corregir y adoptar medidas de control inmediato.  Sin embargo, suspenda actividades si el nivel de consecuencia está por encima de 60.</v>
          </cell>
          <cell r="CL507" t="str">
            <v>No Aceptable</v>
          </cell>
        </row>
        <row r="508">
          <cell r="CJ508">
            <v>480</v>
          </cell>
          <cell r="CK508" t="str">
            <v>II Corregir y adoptar medidas de control inmediato.  Sin embargo, suspenda actividades si el nivel de consecuencia está por encima de 60.</v>
          </cell>
          <cell r="CL508" t="str">
            <v>No Aceptable</v>
          </cell>
        </row>
        <row r="509">
          <cell r="CJ509">
            <v>500</v>
          </cell>
          <cell r="CK509" t="str">
            <v>II Corregir y adoptar medidas de control inmediato.  Sin embargo, suspenda actividades si el nivel de consecuencia está por encima de 60.</v>
          </cell>
          <cell r="CL509" t="str">
            <v>No Aceptable</v>
          </cell>
        </row>
        <row r="510">
          <cell r="CJ510">
            <v>600</v>
          </cell>
          <cell r="CK510" t="str">
            <v>I Situación crítica.  Suspender actividades hasta que el riesgo esté bajo control.  Intervención urgente.</v>
          </cell>
          <cell r="CL510" t="str">
            <v>No Aceptable</v>
          </cell>
        </row>
        <row r="511">
          <cell r="CJ511">
            <v>800</v>
          </cell>
          <cell r="CK511" t="str">
            <v>I Situación crítica.  Suspender actividades hasta que el riesgo esté bajo control.  Intervención urgente.</v>
          </cell>
          <cell r="CL511" t="str">
            <v>No Aceptable</v>
          </cell>
        </row>
        <row r="512">
          <cell r="CJ512">
            <v>1000</v>
          </cell>
          <cell r="CK512" t="str">
            <v>I Situación crítica.  Suspender actividades hasta que el riesgo esté bajo control.  Intervención urgente.</v>
          </cell>
          <cell r="CL512" t="str">
            <v>No Aceptable</v>
          </cell>
        </row>
        <row r="513">
          <cell r="CJ513">
            <v>1200</v>
          </cell>
          <cell r="CK513" t="str">
            <v>I Situación crítica.  Suspender actividades hasta que el riesgo esté bajo control.  Intervención urgente.</v>
          </cell>
          <cell r="CL513" t="str">
            <v>No Aceptable</v>
          </cell>
        </row>
        <row r="514">
          <cell r="CJ514">
            <v>1440</v>
          </cell>
          <cell r="CK514" t="str">
            <v>I Situación crítica.  Suspender actividades hasta que el riesgo esté bajo control.  Intervención urgente.</v>
          </cell>
          <cell r="CL514" t="str">
            <v>No Aceptable</v>
          </cell>
        </row>
        <row r="515">
          <cell r="CJ515">
            <v>2000</v>
          </cell>
          <cell r="CK515" t="str">
            <v>I Situación crítica.  Suspender actividades hasta que el riesgo esté bajo control.  Intervención urgente.</v>
          </cell>
          <cell r="CL515" t="str">
            <v>No Aceptable</v>
          </cell>
        </row>
        <row r="516">
          <cell r="CJ516">
            <v>2400</v>
          </cell>
          <cell r="CK516" t="str">
            <v>I Situación crítica.  Suspender actividades hasta que el riesgo esté bajo control.  Intervención urgente.</v>
          </cell>
          <cell r="CL516" t="str">
            <v>No Aceptable</v>
          </cell>
        </row>
        <row r="517">
          <cell r="CJ517">
            <v>4000</v>
          </cell>
          <cell r="CK517" t="str">
            <v>I Situación crítica.  Suspender actividades hasta que el riesgo esté bajo control.  Intervención urgente.</v>
          </cell>
          <cell r="CL517" t="str">
            <v>No Aceptable</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DE ACTUALIZACIONES "/>
      <sheetName val="MATRIZ DE RIESGOS DE SST"/>
      <sheetName val="UNIVERSO DE RIESGOS DE SST "/>
      <sheetName val="TABLA DE CRITERIOS"/>
      <sheetName val="MAPAS DE RIESGOS INHER Y RESID"/>
    </sheetNames>
    <sheetDataSet>
      <sheetData sheetId="0"/>
      <sheetData sheetId="1">
        <row r="9">
          <cell r="Y9" t="str">
            <v>BAJO</v>
          </cell>
        </row>
      </sheetData>
      <sheetData sheetId="2"/>
      <sheetData sheetId="3">
        <row r="25">
          <cell r="A25" t="str">
            <v>BAJO</v>
          </cell>
          <cell r="B25" t="str">
            <v>Mantener los controles existentes, si se tiene la certeza de que se están cumpliendo los requisitos legales vigentes; en caso contrario, se debe establecer un plan de acción para darle cumplimiento a dichos requisitos, considerando la eliminación o sustitución, si aplica.</v>
          </cell>
        </row>
        <row r="26">
          <cell r="A26" t="str">
            <v>MODERADO</v>
          </cell>
          <cell r="B26" t="str">
            <v>Reforzar la divulgación y aplicación de los controles existentes para mejorar su eficacia o complementar dichos controles estableciendo el plan de acción necesario, teniendo en cuenta la jerarquía de definición de controles.</v>
          </cell>
        </row>
        <row r="27">
          <cell r="A27" t="str">
            <v>ALTO</v>
          </cell>
          <cell r="B27" t="str">
            <v xml:space="preserve">Realizar el análisis de riesgos por la tarea "ART", definiendo los controles específicos o adicionales para su realización según los respectivos procedimientos de trabajo seguro y divulgarlos al personal.  </v>
          </cell>
        </row>
        <row r="28">
          <cell r="A28" t="str">
            <v>EXTREMO</v>
          </cell>
          <cell r="B28" t="str">
            <v xml:space="preserve">No debe realizarse ningún trabajo sin  asegurarse que el riesgo está bajo control antes de iniciar cualquier tarea. </v>
          </cell>
        </row>
      </sheetData>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B6" sqref="B6"/>
    </sheetView>
  </sheetViews>
  <sheetFormatPr baseColWidth="10" defaultRowHeight="15" x14ac:dyDescent="0.25"/>
  <cols>
    <col min="1" max="1" width="23.42578125" customWidth="1"/>
    <col min="2" max="2" width="73.42578125" customWidth="1"/>
    <col min="3" max="3" width="25" customWidth="1"/>
    <col min="4" max="4" width="24.5703125" customWidth="1"/>
  </cols>
  <sheetData>
    <row r="1" spans="1:7" ht="56.25" customHeight="1" x14ac:dyDescent="0.25">
      <c r="A1" s="93"/>
      <c r="B1" s="112" t="s">
        <v>204</v>
      </c>
      <c r="C1" s="113"/>
      <c r="D1" s="94" t="s">
        <v>251</v>
      </c>
    </row>
    <row r="2" spans="1:7" ht="29.25" customHeight="1" x14ac:dyDescent="0.25">
      <c r="B2" s="97"/>
      <c r="C2" s="98"/>
    </row>
    <row r="3" spans="1:7" ht="27.75" customHeight="1" x14ac:dyDescent="0.25">
      <c r="A3" s="111" t="s">
        <v>247</v>
      </c>
      <c r="B3" s="111"/>
      <c r="C3" s="111"/>
      <c r="D3" s="111"/>
      <c r="G3" s="91"/>
    </row>
    <row r="4" spans="1:7" ht="24" customHeight="1" x14ac:dyDescent="0.25">
      <c r="A4" s="99" t="s">
        <v>237</v>
      </c>
      <c r="B4" s="92" t="s">
        <v>249</v>
      </c>
      <c r="C4" s="92" t="s">
        <v>236</v>
      </c>
      <c r="D4" s="92" t="s">
        <v>248</v>
      </c>
    </row>
    <row r="5" spans="1:7" ht="87.75" customHeight="1" x14ac:dyDescent="0.25">
      <c r="A5" s="107">
        <v>0</v>
      </c>
      <c r="B5" s="108" t="s">
        <v>325</v>
      </c>
      <c r="C5" s="109">
        <v>45345</v>
      </c>
      <c r="D5" s="110" t="s">
        <v>324</v>
      </c>
    </row>
    <row r="6" spans="1:7" ht="24.75" customHeight="1" x14ac:dyDescent="0.25">
      <c r="A6" s="6"/>
      <c r="B6" s="3"/>
      <c r="C6" s="1"/>
      <c r="D6" s="93"/>
    </row>
    <row r="7" spans="1:7" ht="24.75" customHeight="1" x14ac:dyDescent="0.25">
      <c r="A7" s="6"/>
      <c r="B7" s="3"/>
      <c r="C7" s="1"/>
      <c r="D7" s="93"/>
    </row>
    <row r="8" spans="1:7" ht="24.75" customHeight="1" x14ac:dyDescent="0.25">
      <c r="A8" s="6"/>
      <c r="B8" s="3"/>
      <c r="C8" s="2"/>
      <c r="D8" s="93"/>
    </row>
    <row r="9" spans="1:7" ht="24.75" customHeight="1" x14ac:dyDescent="0.25">
      <c r="A9" s="6"/>
      <c r="B9" s="4"/>
      <c r="C9" s="2"/>
      <c r="D9" s="93"/>
    </row>
    <row r="10" spans="1:7" ht="24.75" customHeight="1" x14ac:dyDescent="0.25">
      <c r="A10" s="6"/>
      <c r="B10" s="8"/>
      <c r="C10" s="1"/>
      <c r="D10" s="93"/>
    </row>
    <row r="11" spans="1:7" ht="30.75" customHeight="1" x14ac:dyDescent="0.25">
      <c r="A11" s="6"/>
      <c r="B11" s="5"/>
      <c r="C11" s="7"/>
      <c r="D11" s="93"/>
    </row>
  </sheetData>
  <mergeCells count="2">
    <mergeCell ref="A3:D3"/>
    <mergeCell ref="B1:C1"/>
  </mergeCell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Z29"/>
  <sheetViews>
    <sheetView tabSelected="1" zoomScale="39" zoomScaleNormal="39" zoomScaleSheetLayoutView="70" zoomScalePageLayoutView="70" workbookViewId="0">
      <selection activeCell="A6" sqref="A6:A15"/>
    </sheetView>
  </sheetViews>
  <sheetFormatPr baseColWidth="10" defaultColWidth="11.42578125" defaultRowHeight="19.5" x14ac:dyDescent="0.25"/>
  <cols>
    <col min="1" max="1" width="26.7109375" style="29" customWidth="1"/>
    <col min="2" max="2" width="8" style="30" customWidth="1"/>
    <col min="3" max="3" width="9" style="30" customWidth="1"/>
    <col min="4" max="6" width="4.140625" style="31" customWidth="1"/>
    <col min="7" max="7" width="4.140625" style="30" customWidth="1"/>
    <col min="8" max="8" width="24.140625" style="30" customWidth="1"/>
    <col min="9" max="10" width="26.42578125" style="30" customWidth="1"/>
    <col min="11" max="11" width="43" style="30" customWidth="1"/>
    <col min="12" max="13" width="6.85546875" style="31" customWidth="1"/>
    <col min="14" max="17" width="11.42578125" style="31" customWidth="1"/>
    <col min="18" max="18" width="48.140625" style="30" customWidth="1"/>
    <col min="19" max="19" width="24.42578125" style="30" customWidth="1"/>
    <col min="20" max="20" width="24.7109375" style="30" customWidth="1"/>
    <col min="21" max="21" width="27.5703125" style="30" customWidth="1"/>
    <col min="22" max="22" width="6.42578125" style="31" customWidth="1"/>
    <col min="23" max="23" width="13.28515625" style="31" customWidth="1"/>
    <col min="24" max="24" width="14.42578125" style="31" customWidth="1"/>
    <col min="25" max="25" width="8.28515625" style="102" customWidth="1"/>
    <col min="26" max="26" width="52.7109375" style="32" customWidth="1"/>
    <col min="27" max="16384" width="11.42578125" style="23"/>
  </cols>
  <sheetData>
    <row r="1" spans="1:26" ht="85.5" customHeight="1" x14ac:dyDescent="0.25">
      <c r="A1" s="136"/>
      <c r="B1" s="137"/>
      <c r="C1" s="135" t="s">
        <v>204</v>
      </c>
      <c r="D1" s="135"/>
      <c r="E1" s="135"/>
      <c r="F1" s="135"/>
      <c r="G1" s="135"/>
      <c r="H1" s="135"/>
      <c r="I1" s="135"/>
      <c r="J1" s="135"/>
      <c r="K1" s="135"/>
      <c r="L1" s="135"/>
      <c r="M1" s="135"/>
      <c r="N1" s="135"/>
      <c r="O1" s="135"/>
      <c r="P1" s="135"/>
      <c r="Q1" s="135"/>
      <c r="R1" s="135"/>
      <c r="S1" s="135"/>
      <c r="T1" s="135"/>
      <c r="U1" s="135"/>
      <c r="V1" s="135"/>
      <c r="W1" s="135"/>
      <c r="X1" s="135"/>
      <c r="Y1" s="135"/>
      <c r="Z1" s="100" t="s">
        <v>250</v>
      </c>
    </row>
    <row r="2" spans="1:26" s="24" customFormat="1" ht="30.75" customHeight="1" x14ac:dyDescent="0.25">
      <c r="A2" s="80" t="s">
        <v>146</v>
      </c>
      <c r="B2" s="118" t="s">
        <v>323</v>
      </c>
      <c r="C2" s="119"/>
      <c r="D2" s="119"/>
      <c r="E2" s="119"/>
      <c r="F2" s="119"/>
      <c r="G2" s="119"/>
      <c r="H2" s="119"/>
      <c r="I2" s="119"/>
      <c r="J2" s="119"/>
      <c r="K2" s="119"/>
      <c r="L2" s="119"/>
      <c r="M2" s="119"/>
      <c r="N2" s="119"/>
      <c r="O2" s="119"/>
      <c r="P2" s="119"/>
      <c r="Q2" s="119"/>
      <c r="R2" s="119"/>
      <c r="S2" s="119"/>
      <c r="T2" s="119"/>
      <c r="U2" s="119"/>
      <c r="V2" s="119"/>
      <c r="W2" s="119"/>
      <c r="X2" s="119"/>
      <c r="Y2" s="119"/>
      <c r="Z2" s="120"/>
    </row>
    <row r="3" spans="1:26" s="25" customFormat="1" ht="39" customHeight="1" x14ac:dyDescent="0.25">
      <c r="A3" s="81" t="s">
        <v>147</v>
      </c>
      <c r="B3" s="121">
        <v>45345</v>
      </c>
      <c r="C3" s="119"/>
      <c r="D3" s="119"/>
      <c r="E3" s="119"/>
      <c r="F3" s="119"/>
      <c r="G3" s="119"/>
      <c r="H3" s="119"/>
      <c r="I3" s="119"/>
      <c r="J3" s="119"/>
      <c r="K3" s="119"/>
      <c r="L3" s="119"/>
      <c r="M3" s="119"/>
      <c r="N3" s="119"/>
      <c r="O3" s="119"/>
      <c r="P3" s="119"/>
      <c r="Q3" s="119"/>
      <c r="R3" s="119"/>
      <c r="S3" s="119"/>
      <c r="T3" s="119"/>
      <c r="U3" s="119"/>
      <c r="V3" s="119"/>
      <c r="W3" s="119"/>
      <c r="X3" s="119"/>
      <c r="Y3" s="119"/>
      <c r="Z3" s="120"/>
    </row>
    <row r="4" spans="1:26" s="26" customFormat="1" ht="41.25" customHeight="1" x14ac:dyDescent="0.25">
      <c r="A4" s="138" t="s">
        <v>200</v>
      </c>
      <c r="B4" s="139" t="s">
        <v>193</v>
      </c>
      <c r="C4" s="140"/>
      <c r="D4" s="139" t="s">
        <v>2</v>
      </c>
      <c r="E4" s="141"/>
      <c r="F4" s="141"/>
      <c r="G4" s="140"/>
      <c r="H4" s="142" t="s">
        <v>7</v>
      </c>
      <c r="I4" s="122" t="s">
        <v>203</v>
      </c>
      <c r="J4" s="122" t="s">
        <v>202</v>
      </c>
      <c r="K4" s="122" t="s">
        <v>142</v>
      </c>
      <c r="L4" s="129" t="s">
        <v>201</v>
      </c>
      <c r="M4" s="130"/>
      <c r="N4" s="130"/>
      <c r="O4" s="131"/>
      <c r="P4" s="82"/>
      <c r="Q4" s="124" t="s">
        <v>148</v>
      </c>
      <c r="R4" s="126" t="s">
        <v>149</v>
      </c>
      <c r="S4" s="126"/>
      <c r="T4" s="126"/>
      <c r="U4" s="126"/>
      <c r="V4" s="124" t="s">
        <v>191</v>
      </c>
      <c r="W4" s="134" t="s">
        <v>197</v>
      </c>
      <c r="X4" s="144" t="s">
        <v>198</v>
      </c>
      <c r="Y4" s="127" t="s">
        <v>143</v>
      </c>
      <c r="Z4" s="132" t="s">
        <v>144</v>
      </c>
    </row>
    <row r="5" spans="1:26" s="26" customFormat="1" ht="171" customHeight="1" x14ac:dyDescent="0.25">
      <c r="A5" s="138"/>
      <c r="B5" s="83" t="s">
        <v>0</v>
      </c>
      <c r="C5" s="83" t="s">
        <v>1</v>
      </c>
      <c r="D5" s="84" t="s">
        <v>3</v>
      </c>
      <c r="E5" s="84" t="s">
        <v>4</v>
      </c>
      <c r="F5" s="84" t="s">
        <v>5</v>
      </c>
      <c r="G5" s="85" t="s">
        <v>6</v>
      </c>
      <c r="H5" s="143"/>
      <c r="I5" s="123"/>
      <c r="J5" s="123" t="s">
        <v>8</v>
      </c>
      <c r="K5" s="123" t="s">
        <v>9</v>
      </c>
      <c r="L5" s="84" t="s">
        <v>126</v>
      </c>
      <c r="M5" s="84" t="s">
        <v>194</v>
      </c>
      <c r="N5" s="84" t="s">
        <v>142</v>
      </c>
      <c r="O5" s="84" t="s">
        <v>195</v>
      </c>
      <c r="P5" s="84" t="s">
        <v>196</v>
      </c>
      <c r="Q5" s="125"/>
      <c r="R5" s="86" t="s">
        <v>150</v>
      </c>
      <c r="S5" s="86" t="s">
        <v>151</v>
      </c>
      <c r="T5" s="86" t="s">
        <v>152</v>
      </c>
      <c r="U5" s="86" t="s">
        <v>153</v>
      </c>
      <c r="V5" s="125"/>
      <c r="W5" s="125"/>
      <c r="X5" s="145"/>
      <c r="Y5" s="128"/>
      <c r="Z5" s="133"/>
    </row>
    <row r="6" spans="1:26" s="28" customFormat="1" ht="179.25" customHeight="1" x14ac:dyDescent="0.25">
      <c r="A6" s="114" t="s">
        <v>254</v>
      </c>
      <c r="B6" s="116" t="s">
        <v>255</v>
      </c>
      <c r="C6" s="116"/>
      <c r="D6" s="116" t="s">
        <v>255</v>
      </c>
      <c r="E6" s="116"/>
      <c r="F6" s="116"/>
      <c r="G6" s="116"/>
      <c r="H6" s="114" t="s">
        <v>256</v>
      </c>
      <c r="I6" s="79" t="s">
        <v>16</v>
      </c>
      <c r="J6" s="78" t="s">
        <v>282</v>
      </c>
      <c r="K6" s="79" t="s">
        <v>283</v>
      </c>
      <c r="L6" s="87" t="s">
        <v>178</v>
      </c>
      <c r="M6" s="88">
        <f>VLOOKUP('MATRIZ DE RIESGOS DE SST'!L6,'MAPAS DE RIESGOS INHER Y RESID'!$E$3:$F$7,2,FALSE)</f>
        <v>3</v>
      </c>
      <c r="N6" s="87" t="s">
        <v>188</v>
      </c>
      <c r="O6" s="88">
        <f>VLOOKUP('MATRIZ DE RIESGOS DE SST'!N6,'MAPAS DE RIESGOS INHER Y RESID'!$O$3:$P$7,2,FALSE)</f>
        <v>16</v>
      </c>
      <c r="P6" s="88">
        <f>M6*O6</f>
        <v>48</v>
      </c>
      <c r="Q6" s="87" t="str">
        <f>IF(OR('MAPAS DE RIESGOS INHER Y RESID'!$G$7='MATRIZ DE RIESGOS DE SST'!P6,P6&lt;'MAPAS DE RIESGOS INHER Y RESID'!$G$3+1),'MAPAS DE RIESGOS INHER Y RESID'!$M$6,IF(OR('MAPAS DE RIESGOS INHER Y RESID'!$H$5='MATRIZ DE RIESGOS DE SST'!P6,P6&lt;'MAPAS DE RIESGOS INHER Y RESID'!$I$5+1),'MAPAS DE RIESGOS INHER Y RESID'!$M$5,IF(OR('MAPAS DE RIESGOS INHER Y RESID'!$I$4='MATRIZ DE RIESGOS DE SST'!P6,P6&lt;'MAPAS DE RIESGOS INHER Y RESID'!$J$4+1),'MAPAS DE RIESGOS INHER Y RESID'!$M$4,'MAPAS DE RIESGOS INHER Y RESID'!$M$3)))</f>
        <v>MODERADO</v>
      </c>
      <c r="R6" s="77" t="s">
        <v>257</v>
      </c>
      <c r="S6" s="77" t="s">
        <v>284</v>
      </c>
      <c r="T6" s="77" t="s">
        <v>285</v>
      </c>
      <c r="U6" s="77" t="s">
        <v>258</v>
      </c>
      <c r="V6" s="87" t="s">
        <v>179</v>
      </c>
      <c r="W6" s="89">
        <f>VLOOKUP(V6,'MAPAS DE RIESGOS INHER Y RESID'!$E$16:$F$18,2,FALSE)</f>
        <v>0.9</v>
      </c>
      <c r="X6" s="90">
        <f>P6-(W6*P6)</f>
        <v>4.7999999999999972</v>
      </c>
      <c r="Y6" s="101" t="str">
        <f>IF(OR('MAPAS DE RIESGOS INHER Y RESID'!$G$18='MATRIZ DE RIESGOS DE SST'!X6,X6&lt;'MAPAS DE RIESGOS INHER Y RESID'!$G$16+1),'MAPAS DE RIESGOS INHER Y RESID'!$M$19,IF(OR('MAPAS DE RIESGOS INHER Y RESID'!$H$17='MATRIZ DE RIESGOS DE SST'!X6,X6&lt;'MAPAS DE RIESGOS INHER Y RESID'!$I$18+1),'MAPAS DE RIESGOS INHER Y RESID'!$M$18,IF(OR('MAPAS DE RIESGOS INHER Y RESID'!$I$17='MATRIZ DE RIESGOS DE SST'!X6,X6&lt;'MAPAS DE RIESGOS INHER Y RESID'!$J$17+1),'MAPAS DE RIESGOS INHER Y RESID'!$M$17,'MAPAS DE RIESGOS INHER Y RESID'!$M$16)))</f>
        <v>BAJO</v>
      </c>
      <c r="Z6" s="77" t="str">
        <f>VLOOKUP('MATRIZ DE RIESGOS DE SST'!Y6,'TABLA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7" spans="1:26" s="28" customFormat="1" ht="228.75" customHeight="1" x14ac:dyDescent="0.25">
      <c r="A7" s="117"/>
      <c r="B7" s="117"/>
      <c r="C7" s="117"/>
      <c r="D7" s="117"/>
      <c r="E7" s="117"/>
      <c r="F7" s="117"/>
      <c r="G7" s="117"/>
      <c r="H7" s="115"/>
      <c r="I7" s="79" t="s">
        <v>26</v>
      </c>
      <c r="J7" s="78" t="s">
        <v>286</v>
      </c>
      <c r="K7" s="79" t="s">
        <v>24</v>
      </c>
      <c r="L7" s="87" t="s">
        <v>184</v>
      </c>
      <c r="M7" s="88">
        <f>VLOOKUP('MATRIZ DE RIESGOS DE SST'!L7,'MAPAS DE RIESGOS INHER Y RESID'!$E$3:$F$7,2,FALSE)</f>
        <v>2</v>
      </c>
      <c r="N7" s="87" t="s">
        <v>187</v>
      </c>
      <c r="O7" s="88">
        <f>VLOOKUP('MATRIZ DE RIESGOS DE SST'!N7,'MAPAS DE RIESGOS INHER Y RESID'!$O$3:$P$7,2,FALSE)</f>
        <v>4</v>
      </c>
      <c r="P7" s="88">
        <f>+M7*O7</f>
        <v>8</v>
      </c>
      <c r="Q7" s="87" t="str">
        <f>IF(OR('MAPAS DE RIESGOS INHER Y RESID'!$G$7='MATRIZ DE RIESGOS DE SST'!P7,P7&lt;'MAPAS DE RIESGOS INHER Y RESID'!$G$3+1),'MAPAS DE RIESGOS INHER Y RESID'!$M$6,IF(OR('MAPAS DE RIESGOS INHER Y RESID'!$H$5='MATRIZ DE RIESGOS DE SST'!P7,P7&lt;'MAPAS DE RIESGOS INHER Y RESID'!$I$5+1),'MAPAS DE RIESGOS INHER Y RESID'!$M$5,IF(OR('MAPAS DE RIESGOS INHER Y RESID'!$I$4='MATRIZ DE RIESGOS DE SST'!P7,P7&lt;'MAPAS DE RIESGOS INHER Y RESID'!$J$4+1),'MAPAS DE RIESGOS INHER Y RESID'!$M$4,'MAPAS DE RIESGOS INHER Y RESID'!$M$3)))</f>
        <v>BAJO</v>
      </c>
      <c r="R7" s="77" t="s">
        <v>261</v>
      </c>
      <c r="S7" s="77" t="s">
        <v>260</v>
      </c>
      <c r="T7" s="27" t="s">
        <v>287</v>
      </c>
      <c r="U7" s="27" t="s">
        <v>259</v>
      </c>
      <c r="V7" s="87" t="s">
        <v>178</v>
      </c>
      <c r="W7" s="89">
        <f>VLOOKUP(V7,'MAPAS DE RIESGOS INHER Y RESID'!$E$16:$F$18,2,FALSE)</f>
        <v>0.4</v>
      </c>
      <c r="X7" s="90">
        <f>P7-(W7*P7)</f>
        <v>4.8</v>
      </c>
      <c r="Y7" s="101" t="s">
        <v>164</v>
      </c>
      <c r="Z7" s="77" t="str">
        <f>VLOOKUP('MATRIZ DE RIESGOS DE SST'!Y7,'TABLA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8" spans="1:26" ht="231.75" customHeight="1" x14ac:dyDescent="0.25">
      <c r="A8" s="117"/>
      <c r="B8" s="117"/>
      <c r="C8" s="117"/>
      <c r="D8" s="117"/>
      <c r="E8" s="117"/>
      <c r="F8" s="117"/>
      <c r="G8" s="117"/>
      <c r="H8" s="115"/>
      <c r="I8" s="79" t="s">
        <v>30</v>
      </c>
      <c r="J8" s="78" t="s">
        <v>288</v>
      </c>
      <c r="K8" s="79" t="s">
        <v>24</v>
      </c>
      <c r="L8" s="87" t="s">
        <v>184</v>
      </c>
      <c r="M8" s="88">
        <f>VLOOKUP('MATRIZ DE RIESGOS DE SST'!L8,'MAPAS DE RIESGOS INHER Y RESID'!$E$3:$F$7,2,FALSE)</f>
        <v>2</v>
      </c>
      <c r="N8" s="87" t="s">
        <v>187</v>
      </c>
      <c r="O8" s="88">
        <f>VLOOKUP('MATRIZ DE RIESGOS DE SST'!N8,'MAPAS DE RIESGOS INHER Y RESID'!$O$3:$P$7,2,FALSE)</f>
        <v>4</v>
      </c>
      <c r="P8" s="88">
        <f>M8*O8</f>
        <v>8</v>
      </c>
      <c r="Q8" s="87" t="str">
        <f>IF(OR('MAPAS DE RIESGOS INHER Y RESID'!$G$7='MATRIZ DE RIESGOS DE SST'!P8,P8&lt;'MAPAS DE RIESGOS INHER Y RESID'!$G$3+1),'MAPAS DE RIESGOS INHER Y RESID'!$M$6,IF(OR('MAPAS DE RIESGOS INHER Y RESID'!$H$5='MATRIZ DE RIESGOS DE SST'!P8,P8&lt;'MAPAS DE RIESGOS INHER Y RESID'!$I$5+1),'MAPAS DE RIESGOS INHER Y RESID'!$M$5,IF(OR('MAPAS DE RIESGOS INHER Y RESID'!$I$4='MATRIZ DE RIESGOS DE SST'!P8,P8&lt;'MAPAS DE RIESGOS INHER Y RESID'!$J$4+1),'MAPAS DE RIESGOS INHER Y RESID'!$M$4,'MAPAS DE RIESGOS INHER Y RESID'!$M$3)))</f>
        <v>BAJO</v>
      </c>
      <c r="R8" s="77" t="s">
        <v>289</v>
      </c>
      <c r="S8" s="77" t="s">
        <v>262</v>
      </c>
      <c r="T8" s="77" t="s">
        <v>263</v>
      </c>
      <c r="U8" s="77" t="s">
        <v>290</v>
      </c>
      <c r="V8" s="87" t="s">
        <v>178</v>
      </c>
      <c r="W8" s="89">
        <f>VLOOKUP(V8,'MAPAS DE RIESGOS INHER Y RESID'!$E$16:$F$18,2,FALSE)</f>
        <v>0.4</v>
      </c>
      <c r="X8" s="90">
        <f>P8-(W8*P8)</f>
        <v>4.8</v>
      </c>
      <c r="Y8" s="101" t="str">
        <f>IF(OR('MAPAS DE RIESGOS INHER Y RESID'!$G$18='MATRIZ DE RIESGOS DE SST'!X8,X8&lt;'MAPAS DE RIESGOS INHER Y RESID'!$G$16+1),'MAPAS DE RIESGOS INHER Y RESID'!$M$19,IF(OR('MAPAS DE RIESGOS INHER Y RESID'!$H$17='MATRIZ DE RIESGOS DE SST'!X8,X8&lt;'MAPAS DE RIESGOS INHER Y RESID'!$I$18+1),'MAPAS DE RIESGOS INHER Y RESID'!$M$18,IF(OR('MAPAS DE RIESGOS INHER Y RESID'!$I$17='MATRIZ DE RIESGOS DE SST'!X8,X8&lt;'MAPAS DE RIESGOS INHER Y RESID'!$J$17+1),'MAPAS DE RIESGOS INHER Y RESID'!$M$17,'MAPAS DE RIESGOS INHER Y RESID'!$M$16)))</f>
        <v>BAJO</v>
      </c>
      <c r="Z8" s="77" t="str">
        <f>VLOOKUP('MATRIZ DE RIESGOS DE SST'!Y8,'TABLA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9" spans="1:26" ht="136.5" customHeight="1" x14ac:dyDescent="0.25">
      <c r="A9" s="117"/>
      <c r="B9" s="117"/>
      <c r="C9" s="117"/>
      <c r="D9" s="117"/>
      <c r="E9" s="117"/>
      <c r="F9" s="117"/>
      <c r="G9" s="117"/>
      <c r="H9" s="115"/>
      <c r="I9" s="79" t="s">
        <v>47</v>
      </c>
      <c r="J9" s="78" t="s">
        <v>45</v>
      </c>
      <c r="K9" s="79" t="s">
        <v>38</v>
      </c>
      <c r="L9" s="87" t="s">
        <v>184</v>
      </c>
      <c r="M9" s="88">
        <f>VLOOKUP('MATRIZ DE RIESGOS DE SST'!L9,'MAPAS DE RIESGOS INHER Y RESID'!$E$3:$F$7,2,FALSE)</f>
        <v>2</v>
      </c>
      <c r="N9" s="87" t="s">
        <v>188</v>
      </c>
      <c r="O9" s="88">
        <f>VLOOKUP('MATRIZ DE RIESGOS DE SST'!N9,'MAPAS DE RIESGOS INHER Y RESID'!$O$3:$P$7,2,FALSE)</f>
        <v>16</v>
      </c>
      <c r="P9" s="88">
        <f t="shared" ref="P9:P13" si="0">+M9*O9</f>
        <v>32</v>
      </c>
      <c r="Q9" s="87" t="s">
        <v>165</v>
      </c>
      <c r="R9" s="103" t="s">
        <v>264</v>
      </c>
      <c r="S9" s="103" t="s">
        <v>264</v>
      </c>
      <c r="T9" s="103" t="s">
        <v>265</v>
      </c>
      <c r="U9" s="104" t="s">
        <v>266</v>
      </c>
      <c r="V9" s="87" t="s">
        <v>178</v>
      </c>
      <c r="W9" s="89">
        <f>VLOOKUP(V9,'MAPAS DE RIESGOS INHER Y RESID'!$E$16:$F$18,2,FALSE)</f>
        <v>0.4</v>
      </c>
      <c r="X9" s="90">
        <f>P9-(W9*P9)</f>
        <v>19.2</v>
      </c>
      <c r="Y9" s="101" t="str">
        <f>IF(OR('MAPAS DE RIESGOS INHER Y RESID'!$G$18='MATRIZ DE RIESGOS DE SST'!X9,X9&lt;'MAPAS DE RIESGOS INHER Y RESID'!$G$16+1),'MAPAS DE RIESGOS INHER Y RESID'!$M$19,IF(OR('MAPAS DE RIESGOS INHER Y RESID'!$H$17='MATRIZ DE RIESGOS DE SST'!X9,X9&lt;'MAPAS DE RIESGOS INHER Y RESID'!$I$18+1),'MAPAS DE RIESGOS INHER Y RESID'!$M$18,IF(OR('MAPAS DE RIESGOS INHER Y RESID'!$I$17='MATRIZ DE RIESGOS DE SST'!X9,X9&lt;'MAPAS DE RIESGOS INHER Y RESID'!$J$17+1),'MAPAS DE RIESGOS INHER Y RESID'!$M$17,'MAPAS DE RIESGOS INHER Y RESID'!$M$16)))</f>
        <v>MODERADO</v>
      </c>
      <c r="Z9" s="104" t="str">
        <f>VLOOKUP('[8]MATRIZ DE RIESGOS DE SST'!Y9,'[8]TABLA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10" spans="1:26" ht="136.5" customHeight="1" x14ac:dyDescent="0.25">
      <c r="A10" s="117"/>
      <c r="B10" s="117"/>
      <c r="C10" s="117"/>
      <c r="D10" s="117"/>
      <c r="E10" s="117"/>
      <c r="F10" s="117"/>
      <c r="G10" s="117"/>
      <c r="H10" s="115"/>
      <c r="I10" s="79" t="s">
        <v>52</v>
      </c>
      <c r="J10" s="78" t="s">
        <v>207</v>
      </c>
      <c r="K10" s="79" t="s">
        <v>53</v>
      </c>
      <c r="L10" s="87" t="s">
        <v>184</v>
      </c>
      <c r="M10" s="88">
        <f>VLOOKUP('MATRIZ DE RIESGOS DE SST'!L10,'MAPAS DE RIESGOS INHER Y RESID'!$E$3:$F$7,2,FALSE)</f>
        <v>2</v>
      </c>
      <c r="N10" s="87" t="s">
        <v>187</v>
      </c>
      <c r="O10" s="88">
        <f>VLOOKUP('MATRIZ DE RIESGOS DE SST'!N10,'MAPAS DE RIESGOS INHER Y RESID'!$O$3:$P$7,2,FALSE)</f>
        <v>4</v>
      </c>
      <c r="P10" s="88">
        <f t="shared" si="0"/>
        <v>8</v>
      </c>
      <c r="Q10" s="87" t="str">
        <f>IF(OR('MAPAS DE RIESGOS INHER Y RESID'!$G$7='MATRIZ DE RIESGOS DE SST'!P10,P10&lt;'MAPAS DE RIESGOS INHER Y RESID'!$G$3+1),'MAPAS DE RIESGOS INHER Y RESID'!$M$6,IF(OR('MAPAS DE RIESGOS INHER Y RESID'!$H$5='MATRIZ DE RIESGOS DE SST'!P10,P10&lt;'MAPAS DE RIESGOS INHER Y RESID'!$I$5+1),'MAPAS DE RIESGOS INHER Y RESID'!$M$5,IF(OR('MAPAS DE RIESGOS INHER Y RESID'!$I$4='MATRIZ DE RIESGOS DE SST'!P10,P10&lt;'MAPAS DE RIESGOS INHER Y RESID'!$J$4+1),'MAPAS DE RIESGOS INHER Y RESID'!$M$4,'MAPAS DE RIESGOS INHER Y RESID'!$M$3)))</f>
        <v>BAJO</v>
      </c>
      <c r="R10" s="77" t="s">
        <v>270</v>
      </c>
      <c r="S10" s="77" t="s">
        <v>269</v>
      </c>
      <c r="T10" s="77" t="s">
        <v>267</v>
      </c>
      <c r="U10" s="77" t="s">
        <v>268</v>
      </c>
      <c r="V10" s="87" t="s">
        <v>178</v>
      </c>
      <c r="W10" s="89">
        <f>VLOOKUP(V10,'MAPAS DE RIESGOS INHER Y RESID'!$E$16:$F$18,2,FALSE)</f>
        <v>0.4</v>
      </c>
      <c r="X10" s="90">
        <f t="shared" ref="X10:X13" si="1">P10-(W10*P10)</f>
        <v>4.8</v>
      </c>
      <c r="Y10" s="101" t="str">
        <f>IF(OR('MAPAS DE RIESGOS INHER Y RESID'!$G$18='MATRIZ DE RIESGOS DE SST'!X10,X10&lt;'MAPAS DE RIESGOS INHER Y RESID'!$G$16+1),'MAPAS DE RIESGOS INHER Y RESID'!$M$19,IF(OR('MAPAS DE RIESGOS INHER Y RESID'!$H$17='MATRIZ DE RIESGOS DE SST'!X10,X10&lt;'MAPAS DE RIESGOS INHER Y RESID'!$I$18+1),'MAPAS DE RIESGOS INHER Y RESID'!$M$18,IF(OR('MAPAS DE RIESGOS INHER Y RESID'!$I$17='MATRIZ DE RIESGOS DE SST'!X10,X10&lt;'MAPAS DE RIESGOS INHER Y RESID'!$J$17+1),'MAPAS DE RIESGOS INHER Y RESID'!$M$17,'MAPAS DE RIESGOS INHER Y RESID'!$M$16)))</f>
        <v>BAJO</v>
      </c>
      <c r="Z10" s="77" t="str">
        <f>VLOOKUP('MATRIZ DE RIESGOS DE SST'!Y10,'TABLA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11" spans="1:26" ht="136.5" customHeight="1" x14ac:dyDescent="0.25">
      <c r="A11" s="117"/>
      <c r="B11" s="117"/>
      <c r="C11" s="117"/>
      <c r="D11" s="117"/>
      <c r="E11" s="117"/>
      <c r="F11" s="117"/>
      <c r="G11" s="117"/>
      <c r="H11" s="115"/>
      <c r="I11" s="79" t="s">
        <v>58</v>
      </c>
      <c r="J11" s="78" t="s">
        <v>199</v>
      </c>
      <c r="K11" s="79" t="s">
        <v>59</v>
      </c>
      <c r="L11" s="87" t="s">
        <v>184</v>
      </c>
      <c r="M11" s="88">
        <f>VLOOKUP('MATRIZ DE RIESGOS DE SST'!L11,'MAPAS DE RIESGOS INHER Y RESID'!$E$3:$F$7,2,FALSE)</f>
        <v>2</v>
      </c>
      <c r="N11" s="87" t="s">
        <v>187</v>
      </c>
      <c r="O11" s="88">
        <f>VLOOKUP('MATRIZ DE RIESGOS DE SST'!N11,'MAPAS DE RIESGOS INHER Y RESID'!$O$3:$P$7,2,FALSE)</f>
        <v>4</v>
      </c>
      <c r="P11" s="88">
        <f t="shared" si="0"/>
        <v>8</v>
      </c>
      <c r="Q11" s="87" t="str">
        <f>IF(OR('MAPAS DE RIESGOS INHER Y RESID'!$G$7='MATRIZ DE RIESGOS DE SST'!P11,P11&lt;'MAPAS DE RIESGOS INHER Y RESID'!$G$3+1),'MAPAS DE RIESGOS INHER Y RESID'!$M$6,IF(OR('MAPAS DE RIESGOS INHER Y RESID'!$H$5='MATRIZ DE RIESGOS DE SST'!P11,P11&lt;'MAPAS DE RIESGOS INHER Y RESID'!$I$5+1),'MAPAS DE RIESGOS INHER Y RESID'!$M$5,IF(OR('MAPAS DE RIESGOS INHER Y RESID'!$I$4='MATRIZ DE RIESGOS DE SST'!P11,P11&lt;'MAPAS DE RIESGOS INHER Y RESID'!$J$4+1),'MAPAS DE RIESGOS INHER Y RESID'!$M$4,'MAPAS DE RIESGOS INHER Y RESID'!$M$3)))</f>
        <v>BAJO</v>
      </c>
      <c r="R11" s="104" t="s">
        <v>291</v>
      </c>
      <c r="S11" s="103" t="s">
        <v>264</v>
      </c>
      <c r="T11" s="104" t="s">
        <v>271</v>
      </c>
      <c r="U11" s="104" t="s">
        <v>275</v>
      </c>
      <c r="V11" s="87" t="s">
        <v>179</v>
      </c>
      <c r="W11" s="89">
        <f>VLOOKUP(V11,'MAPAS DE RIESGOS INHER Y RESID'!$E$16:$F$18,2,FALSE)</f>
        <v>0.9</v>
      </c>
      <c r="X11" s="90">
        <f t="shared" si="1"/>
        <v>0.79999999999999982</v>
      </c>
      <c r="Y11" s="101" t="str">
        <f>IF(OR('MAPAS DE RIESGOS INHER Y RESID'!$G$18='MATRIZ DE RIESGOS DE SST'!X11,X11&lt;'MAPAS DE RIESGOS INHER Y RESID'!$G$16+1),'MAPAS DE RIESGOS INHER Y RESID'!$M$19,IF(OR('MAPAS DE RIESGOS INHER Y RESID'!$H$17='MATRIZ DE RIESGOS DE SST'!X11,X11&lt;'MAPAS DE RIESGOS INHER Y RESID'!$I$18+1),'MAPAS DE RIESGOS INHER Y RESID'!$M$18,IF(OR('MAPAS DE RIESGOS INHER Y RESID'!$I$17='MATRIZ DE RIESGOS DE SST'!X11,X11&lt;'MAPAS DE RIESGOS INHER Y RESID'!$J$17+1),'MAPAS DE RIESGOS INHER Y RESID'!$M$17,'MAPAS DE RIESGOS INHER Y RESID'!$M$16)))</f>
        <v>BAJO</v>
      </c>
      <c r="Z11" s="77" t="str">
        <f>VLOOKUP('MATRIZ DE RIESGOS DE SST'!Y11,'TABLA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12" spans="1:26" ht="165" customHeight="1" x14ac:dyDescent="0.25">
      <c r="A12" s="117"/>
      <c r="B12" s="117"/>
      <c r="C12" s="117"/>
      <c r="D12" s="117"/>
      <c r="E12" s="117"/>
      <c r="F12" s="117"/>
      <c r="G12" s="117"/>
      <c r="H12" s="115"/>
      <c r="I12" s="79" t="s">
        <v>62</v>
      </c>
      <c r="J12" s="79" t="s">
        <v>292</v>
      </c>
      <c r="K12" s="79" t="s">
        <v>63</v>
      </c>
      <c r="L12" s="87" t="s">
        <v>178</v>
      </c>
      <c r="M12" s="88">
        <f>VLOOKUP('MATRIZ DE RIESGOS DE SST'!L12,'MAPAS DE RIESGOS INHER Y RESID'!$E$3:$F$7,2,FALSE)</f>
        <v>3</v>
      </c>
      <c r="N12" s="87" t="s">
        <v>188</v>
      </c>
      <c r="O12" s="88">
        <f>VLOOKUP('MATRIZ DE RIESGOS DE SST'!N12,'MAPAS DE RIESGOS INHER Y RESID'!$O$3:$P$7,2,FALSE)</f>
        <v>16</v>
      </c>
      <c r="P12" s="88">
        <f t="shared" si="0"/>
        <v>48</v>
      </c>
      <c r="Q12" s="87" t="str">
        <f>IF(OR('MAPAS DE RIESGOS INHER Y RESID'!$G$7='MATRIZ DE RIESGOS DE SST'!P12,P12&lt;'MAPAS DE RIESGOS INHER Y RESID'!$G$3+1),'MAPAS DE RIESGOS INHER Y RESID'!$M$6,IF(OR('MAPAS DE RIESGOS INHER Y RESID'!$H$5='MATRIZ DE RIESGOS DE SST'!P12,P12&lt;'MAPAS DE RIESGOS INHER Y RESID'!$I$5+1),'MAPAS DE RIESGOS INHER Y RESID'!$M$5,IF(OR('MAPAS DE RIESGOS INHER Y RESID'!$I$4='MATRIZ DE RIESGOS DE SST'!P12,P12&lt;'MAPAS DE RIESGOS INHER Y RESID'!$J$4+1),'MAPAS DE RIESGOS INHER Y RESID'!$M$4,'MAPAS DE RIESGOS INHER Y RESID'!$M$3)))</f>
        <v>MODERADO</v>
      </c>
      <c r="R12" s="103" t="s">
        <v>273</v>
      </c>
      <c r="S12" s="104" t="s">
        <v>293</v>
      </c>
      <c r="T12" s="104" t="s">
        <v>272</v>
      </c>
      <c r="U12" s="104" t="s">
        <v>274</v>
      </c>
      <c r="V12" s="87" t="s">
        <v>179</v>
      </c>
      <c r="W12" s="89">
        <f>VLOOKUP(V12,'MAPAS DE RIESGOS INHER Y RESID'!$E$16:$F$18,2,FALSE)</f>
        <v>0.9</v>
      </c>
      <c r="X12" s="90">
        <f t="shared" si="1"/>
        <v>4.7999999999999972</v>
      </c>
      <c r="Y12" s="101" t="s">
        <v>165</v>
      </c>
      <c r="Z12" s="77" t="str">
        <f>VLOOKUP('MATRIZ DE RIESGOS DE SST'!Y12,'TABLA DE CRITERIOS'!$A$25:$B$28,2,FALSE)</f>
        <v>Reforzar la divulgación y aplicación de los controles existentes para mejorar su eficacia o complementar dichos controles estableciendo el plan de acción necesario, teniendo en cuenta la jerarquía de definición de controles.</v>
      </c>
    </row>
    <row r="13" spans="1:26" ht="136.5" customHeight="1" x14ac:dyDescent="0.25">
      <c r="A13" s="117"/>
      <c r="B13" s="117"/>
      <c r="C13" s="117"/>
      <c r="D13" s="117"/>
      <c r="E13" s="117"/>
      <c r="F13" s="117"/>
      <c r="G13" s="117"/>
      <c r="H13" s="115"/>
      <c r="I13" s="79" t="s">
        <v>88</v>
      </c>
      <c r="J13" s="78" t="s">
        <v>294</v>
      </c>
      <c r="K13" s="79" t="s">
        <v>89</v>
      </c>
      <c r="L13" s="87" t="s">
        <v>184</v>
      </c>
      <c r="M13" s="88">
        <f>VLOOKUP('MATRIZ DE RIESGOS DE SST'!L13,'MAPAS DE RIESGOS INHER Y RESID'!$E$3:$F$7,2,FALSE)</f>
        <v>2</v>
      </c>
      <c r="N13" s="87" t="s">
        <v>187</v>
      </c>
      <c r="O13" s="88">
        <f>VLOOKUP('MATRIZ DE RIESGOS DE SST'!N13,'MAPAS DE RIESGOS INHER Y RESID'!$O$3:$P$7,2,FALSE)</f>
        <v>4</v>
      </c>
      <c r="P13" s="88">
        <f t="shared" si="0"/>
        <v>8</v>
      </c>
      <c r="Q13" s="87" t="str">
        <f>IF(OR('MAPAS DE RIESGOS INHER Y RESID'!$G$7='MATRIZ DE RIESGOS DE SST'!P13,P13&lt;'MAPAS DE RIESGOS INHER Y RESID'!$G$3+1),'MAPAS DE RIESGOS INHER Y RESID'!$M$6,IF(OR('MAPAS DE RIESGOS INHER Y RESID'!$H$5='MATRIZ DE RIESGOS DE SST'!P13,P13&lt;'MAPAS DE RIESGOS INHER Y RESID'!$I$5+1),'MAPAS DE RIESGOS INHER Y RESID'!$M$5,IF(OR('MAPAS DE RIESGOS INHER Y RESID'!$I$4='MATRIZ DE RIESGOS DE SST'!P13,P13&lt;'MAPAS DE RIESGOS INHER Y RESID'!$J$4+1),'MAPAS DE RIESGOS INHER Y RESID'!$M$4,'MAPAS DE RIESGOS INHER Y RESID'!$M$3)))</f>
        <v>BAJO</v>
      </c>
      <c r="R13" s="77" t="s">
        <v>295</v>
      </c>
      <c r="S13" s="77" t="s">
        <v>276</v>
      </c>
      <c r="T13" s="77" t="s">
        <v>277</v>
      </c>
      <c r="U13" s="77" t="s">
        <v>296</v>
      </c>
      <c r="V13" s="87" t="s">
        <v>178</v>
      </c>
      <c r="W13" s="89">
        <f>VLOOKUP(V13,'MAPAS DE RIESGOS INHER Y RESID'!$E$16:$F$18,2,FALSE)</f>
        <v>0.4</v>
      </c>
      <c r="X13" s="90">
        <f t="shared" si="1"/>
        <v>4.8</v>
      </c>
      <c r="Y13" s="101" t="str">
        <f>IF(OR('MAPAS DE RIESGOS INHER Y RESID'!$G$18='MATRIZ DE RIESGOS DE SST'!X13,X13&lt;'MAPAS DE RIESGOS INHER Y RESID'!$G$16+1),'MAPAS DE RIESGOS INHER Y RESID'!$M$19,IF(OR('MAPAS DE RIESGOS INHER Y RESID'!$H$17='MATRIZ DE RIESGOS DE SST'!X13,X13&lt;'MAPAS DE RIESGOS INHER Y RESID'!$I$18+1),'MAPAS DE RIESGOS INHER Y RESID'!$M$18,IF(OR('MAPAS DE RIESGOS INHER Y RESID'!$I$17='MATRIZ DE RIESGOS DE SST'!X13,X13&lt;'MAPAS DE RIESGOS INHER Y RESID'!$J$17+1),'MAPAS DE RIESGOS INHER Y RESID'!$M$17,'MAPAS DE RIESGOS INHER Y RESID'!$M$16)))</f>
        <v>BAJO</v>
      </c>
      <c r="Z13" s="77" t="str">
        <f>VLOOKUP('MATRIZ DE RIESGOS DE SST'!Y13,'TABLA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14" spans="1:26" ht="142.5" customHeight="1" x14ac:dyDescent="0.25">
      <c r="A14" s="117"/>
      <c r="B14" s="117"/>
      <c r="C14" s="117"/>
      <c r="D14" s="117"/>
      <c r="E14" s="117"/>
      <c r="F14" s="117"/>
      <c r="G14" s="117"/>
      <c r="H14" s="115"/>
      <c r="I14" s="79" t="s">
        <v>208</v>
      </c>
      <c r="J14" s="78" t="s">
        <v>297</v>
      </c>
      <c r="K14" s="79" t="s">
        <v>108</v>
      </c>
      <c r="L14" s="87" t="s">
        <v>184</v>
      </c>
      <c r="M14" s="88">
        <f>VLOOKUP('MATRIZ DE RIESGOS DE SST'!L14,'MAPAS DE RIESGOS INHER Y RESID'!$E$3:$F$7,2,FALSE)</f>
        <v>2</v>
      </c>
      <c r="N14" s="87" t="s">
        <v>187</v>
      </c>
      <c r="O14" s="88">
        <f>VLOOKUP('MATRIZ DE RIESGOS DE SST'!N14,'MAPAS DE RIESGOS INHER Y RESID'!$O$3:$P$7,2,FALSE)</f>
        <v>4</v>
      </c>
      <c r="P14" s="88">
        <f t="shared" ref="P14" si="2">+M14*O14</f>
        <v>8</v>
      </c>
      <c r="Q14" s="87" t="str">
        <f>IF(OR('MAPAS DE RIESGOS INHER Y RESID'!$G$7='MATRIZ DE RIESGOS DE SST'!P14,P14&lt;'MAPAS DE RIESGOS INHER Y RESID'!$G$3+1),'MAPAS DE RIESGOS INHER Y RESID'!$M$6,IF(OR('MAPAS DE RIESGOS INHER Y RESID'!$H$5='MATRIZ DE RIESGOS DE SST'!P14,P14&lt;'MAPAS DE RIESGOS INHER Y RESID'!$I$5+1),'MAPAS DE RIESGOS INHER Y RESID'!$M$5,IF(OR('MAPAS DE RIESGOS INHER Y RESID'!$I$4='MATRIZ DE RIESGOS DE SST'!P14,P14&lt;'MAPAS DE RIESGOS INHER Y RESID'!$J$4+1),'MAPAS DE RIESGOS INHER Y RESID'!$M$4,'MAPAS DE RIESGOS INHER Y RESID'!$M$3)))</f>
        <v>BAJO</v>
      </c>
      <c r="R14" s="77" t="s">
        <v>261</v>
      </c>
      <c r="S14" s="77" t="s">
        <v>260</v>
      </c>
      <c r="T14" s="27" t="s">
        <v>287</v>
      </c>
      <c r="U14" s="27" t="s">
        <v>259</v>
      </c>
      <c r="V14" s="87" t="s">
        <v>178</v>
      </c>
      <c r="W14" s="89">
        <f>VLOOKUP(V14,'MAPAS DE RIESGOS INHER Y RESID'!$E$16:$F$18,2,FALSE)</f>
        <v>0.4</v>
      </c>
      <c r="X14" s="90">
        <f t="shared" ref="X14:X15" si="3">P14-(P14*W14)</f>
        <v>4.8</v>
      </c>
      <c r="Y14" s="101" t="str">
        <f>IF(OR('MAPAS DE RIESGOS INHER Y RESID'!$G$18='MATRIZ DE RIESGOS DE SST'!X14,X14&lt;'MAPAS DE RIESGOS INHER Y RESID'!$G$16+1),'MAPAS DE RIESGOS INHER Y RESID'!$M$19,IF(OR('MAPAS DE RIESGOS INHER Y RESID'!$H$17='MATRIZ DE RIESGOS DE SST'!X14,X14&lt;'MAPAS DE RIESGOS INHER Y RESID'!$I$18+1),'MAPAS DE RIESGOS INHER Y RESID'!$M$18,IF(OR('MAPAS DE RIESGOS INHER Y RESID'!$I$17='MATRIZ DE RIESGOS DE SST'!X14,X14&lt;'MAPAS DE RIESGOS INHER Y RESID'!$J$17+1),'MAPAS DE RIESGOS INHER Y RESID'!$M$17,'MAPAS DE RIESGOS INHER Y RESID'!$M$16)))</f>
        <v>BAJO</v>
      </c>
      <c r="Z14" s="77" t="str">
        <f>VLOOKUP('MATRIZ DE RIESGOS DE SST'!Y14,'TABLA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15" spans="1:26" ht="328.5" customHeight="1" x14ac:dyDescent="0.25">
      <c r="A15" s="117"/>
      <c r="B15" s="117"/>
      <c r="C15" s="117"/>
      <c r="D15" s="117"/>
      <c r="E15" s="117"/>
      <c r="F15" s="117"/>
      <c r="G15" s="117"/>
      <c r="H15" s="115"/>
      <c r="I15" s="103" t="s">
        <v>32</v>
      </c>
      <c r="J15" s="105" t="s">
        <v>278</v>
      </c>
      <c r="K15" s="104" t="s">
        <v>24</v>
      </c>
      <c r="L15" s="87" t="s">
        <v>178</v>
      </c>
      <c r="M15" s="88">
        <f>VLOOKUP('MATRIZ DE RIESGOS DE SST'!L15,'MAPAS DE RIESGOS INHER Y RESID'!$E$3:$F$7,2,FALSE)</f>
        <v>3</v>
      </c>
      <c r="N15" s="87" t="s">
        <v>188</v>
      </c>
      <c r="O15" s="88">
        <f>VLOOKUP('MATRIZ DE RIESGOS DE SST'!N15,'MAPAS DE RIESGOS INHER Y RESID'!$O$3:$P$7,2,FALSE)</f>
        <v>16</v>
      </c>
      <c r="P15" s="88">
        <f t="shared" ref="P15" si="4">+M15*O15</f>
        <v>48</v>
      </c>
      <c r="Q15" s="87" t="s">
        <v>166</v>
      </c>
      <c r="R15" s="103" t="s">
        <v>298</v>
      </c>
      <c r="S15" s="103" t="s">
        <v>279</v>
      </c>
      <c r="T15" s="27" t="s">
        <v>280</v>
      </c>
      <c r="U15" s="27" t="s">
        <v>281</v>
      </c>
      <c r="V15" s="87" t="s">
        <v>179</v>
      </c>
      <c r="W15" s="89">
        <f>VLOOKUP(V15,'MAPAS DE RIESGOS INHER Y RESID'!$E$16:$F$18,2,FALSE)</f>
        <v>0.9</v>
      </c>
      <c r="X15" s="90">
        <f t="shared" si="3"/>
        <v>4.7999999999999972</v>
      </c>
      <c r="Y15" s="101" t="s">
        <v>164</v>
      </c>
      <c r="Z15" s="77" t="str">
        <f>VLOOKUP('MATRIZ DE RIESGOS DE SST'!Y15,'TABLA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16" spans="1:26" ht="175.5" x14ac:dyDescent="0.25">
      <c r="A16" s="114" t="s">
        <v>254</v>
      </c>
      <c r="B16" s="116" t="s">
        <v>255</v>
      </c>
      <c r="C16" s="116"/>
      <c r="D16" s="116" t="s">
        <v>255</v>
      </c>
      <c r="E16" s="116"/>
      <c r="F16" s="116"/>
      <c r="G16" s="116"/>
      <c r="H16" s="116" t="s">
        <v>299</v>
      </c>
      <c r="I16" s="79" t="s">
        <v>16</v>
      </c>
      <c r="J16" s="78" t="s">
        <v>282</v>
      </c>
      <c r="K16" s="79" t="s">
        <v>283</v>
      </c>
      <c r="L16" s="87" t="s">
        <v>178</v>
      </c>
      <c r="M16" s="88">
        <f>VLOOKUP('MATRIZ DE RIESGOS DE SST'!L16,'MAPAS DE RIESGOS INHER Y RESID'!$E$3:$F$7,2,FALSE)</f>
        <v>3</v>
      </c>
      <c r="N16" s="87" t="s">
        <v>188</v>
      </c>
      <c r="O16" s="88">
        <f>VLOOKUP('MATRIZ DE RIESGOS DE SST'!N16,'MAPAS DE RIESGOS INHER Y RESID'!$O$3:$P$7,2,FALSE)</f>
        <v>16</v>
      </c>
      <c r="P16" s="88">
        <f>M16*O16</f>
        <v>48</v>
      </c>
      <c r="Q16" s="87" t="str">
        <f>IF(OR('MAPAS DE RIESGOS INHER Y RESID'!$G$7='MATRIZ DE RIESGOS DE SST'!P16,P16&lt;'MAPAS DE RIESGOS INHER Y RESID'!$G$3+1),'MAPAS DE RIESGOS INHER Y RESID'!$M$6,IF(OR('MAPAS DE RIESGOS INHER Y RESID'!$H$5='MATRIZ DE RIESGOS DE SST'!P16,P16&lt;'MAPAS DE RIESGOS INHER Y RESID'!$I$5+1),'MAPAS DE RIESGOS INHER Y RESID'!$M$5,IF(OR('MAPAS DE RIESGOS INHER Y RESID'!$I$4='MATRIZ DE RIESGOS DE SST'!P16,P16&lt;'MAPAS DE RIESGOS INHER Y RESID'!$J$4+1),'MAPAS DE RIESGOS INHER Y RESID'!$M$4,'MAPAS DE RIESGOS INHER Y RESID'!$M$3)))</f>
        <v>MODERADO</v>
      </c>
      <c r="R16" s="77" t="s">
        <v>257</v>
      </c>
      <c r="S16" s="77" t="s">
        <v>284</v>
      </c>
      <c r="T16" s="77" t="s">
        <v>285</v>
      </c>
      <c r="U16" s="77" t="s">
        <v>258</v>
      </c>
      <c r="V16" s="87" t="s">
        <v>179</v>
      </c>
      <c r="W16" s="89">
        <f>VLOOKUP(V16,'MAPAS DE RIESGOS INHER Y RESID'!$E$16:$F$18,2,FALSE)</f>
        <v>0.9</v>
      </c>
      <c r="X16" s="90">
        <f>P16-(W16*P16)</f>
        <v>4.7999999999999972</v>
      </c>
      <c r="Y16" s="101" t="str">
        <f>IF(OR('MAPAS DE RIESGOS INHER Y RESID'!$G$18='MATRIZ DE RIESGOS DE SST'!X16,X16&lt;'MAPAS DE RIESGOS INHER Y RESID'!$G$16+1),'MAPAS DE RIESGOS INHER Y RESID'!$M$19,IF(OR('MAPAS DE RIESGOS INHER Y RESID'!$H$17='MATRIZ DE RIESGOS DE SST'!X16,X16&lt;'MAPAS DE RIESGOS INHER Y RESID'!$I$18+1),'MAPAS DE RIESGOS INHER Y RESID'!$M$18,IF(OR('MAPAS DE RIESGOS INHER Y RESID'!$I$17='MATRIZ DE RIESGOS DE SST'!X16,X16&lt;'MAPAS DE RIESGOS INHER Y RESID'!$J$17+1),'MAPAS DE RIESGOS INHER Y RESID'!$M$17,'MAPAS DE RIESGOS INHER Y RESID'!$M$16)))</f>
        <v>BAJO</v>
      </c>
      <c r="Z16" s="77" t="str">
        <f>VLOOKUP('MATRIZ DE RIESGOS DE SST'!Y16,'TABLA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17" spans="1:26" ht="175.5" x14ac:dyDescent="0.25">
      <c r="A17" s="117"/>
      <c r="B17" s="117"/>
      <c r="C17" s="117"/>
      <c r="D17" s="117"/>
      <c r="E17" s="117"/>
      <c r="F17" s="117"/>
      <c r="G17" s="117"/>
      <c r="H17" s="117"/>
      <c r="I17" s="79" t="s">
        <v>30</v>
      </c>
      <c r="J17" s="78" t="s">
        <v>288</v>
      </c>
      <c r="K17" s="79" t="s">
        <v>24</v>
      </c>
      <c r="L17" s="87" t="s">
        <v>184</v>
      </c>
      <c r="M17" s="88">
        <f>VLOOKUP('MATRIZ DE RIESGOS DE SST'!L17,'MAPAS DE RIESGOS INHER Y RESID'!$E$3:$F$7,2,FALSE)</f>
        <v>2</v>
      </c>
      <c r="N17" s="87" t="s">
        <v>187</v>
      </c>
      <c r="O17" s="88">
        <f>VLOOKUP('MATRIZ DE RIESGOS DE SST'!N17,'MAPAS DE RIESGOS INHER Y RESID'!$O$3:$P$7,2,FALSE)</f>
        <v>4</v>
      </c>
      <c r="P17" s="88">
        <f>M17*O17</f>
        <v>8</v>
      </c>
      <c r="Q17" s="87" t="str">
        <f>IF(OR('MAPAS DE RIESGOS INHER Y RESID'!$G$7='MATRIZ DE RIESGOS DE SST'!P17,P17&lt;'MAPAS DE RIESGOS INHER Y RESID'!$G$3+1),'MAPAS DE RIESGOS INHER Y RESID'!$M$6,IF(OR('MAPAS DE RIESGOS INHER Y RESID'!$H$5='MATRIZ DE RIESGOS DE SST'!P17,P17&lt;'MAPAS DE RIESGOS INHER Y RESID'!$I$5+1),'MAPAS DE RIESGOS INHER Y RESID'!$M$5,IF(OR('MAPAS DE RIESGOS INHER Y RESID'!$I$4='MATRIZ DE RIESGOS DE SST'!P17,P17&lt;'MAPAS DE RIESGOS INHER Y RESID'!$J$4+1),'MAPAS DE RIESGOS INHER Y RESID'!$M$4,'MAPAS DE RIESGOS INHER Y RESID'!$M$3)))</f>
        <v>BAJO</v>
      </c>
      <c r="R17" s="77" t="s">
        <v>289</v>
      </c>
      <c r="S17" s="77" t="s">
        <v>262</v>
      </c>
      <c r="T17" s="77" t="s">
        <v>263</v>
      </c>
      <c r="U17" s="77" t="s">
        <v>290</v>
      </c>
      <c r="V17" s="87" t="s">
        <v>178</v>
      </c>
      <c r="W17" s="89">
        <f>VLOOKUP(V17,'MAPAS DE RIESGOS INHER Y RESID'!$E$16:$F$18,2,FALSE)</f>
        <v>0.4</v>
      </c>
      <c r="X17" s="90">
        <f>P17-(W17*P17)</f>
        <v>4.8</v>
      </c>
      <c r="Y17" s="101" t="str">
        <f>IF(OR('MAPAS DE RIESGOS INHER Y RESID'!$G$18='MATRIZ DE RIESGOS DE SST'!X17,X17&lt;'MAPAS DE RIESGOS INHER Y RESID'!$G$16+1),'MAPAS DE RIESGOS INHER Y RESID'!$M$19,IF(OR('MAPAS DE RIESGOS INHER Y RESID'!$H$17='MATRIZ DE RIESGOS DE SST'!X17,X17&lt;'MAPAS DE RIESGOS INHER Y RESID'!$I$18+1),'MAPAS DE RIESGOS INHER Y RESID'!$M$18,IF(OR('MAPAS DE RIESGOS INHER Y RESID'!$I$17='MATRIZ DE RIESGOS DE SST'!X17,X17&lt;'MAPAS DE RIESGOS INHER Y RESID'!$J$17+1),'MAPAS DE RIESGOS INHER Y RESID'!$M$17,'MAPAS DE RIESGOS INHER Y RESID'!$M$16)))</f>
        <v>BAJO</v>
      </c>
      <c r="Z17" s="77" t="str">
        <f>VLOOKUP('MATRIZ DE RIESGOS DE SST'!Y17,'TABLA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18" spans="1:26" ht="153" x14ac:dyDescent="0.25">
      <c r="A18" s="117"/>
      <c r="B18" s="117"/>
      <c r="C18" s="117"/>
      <c r="D18" s="117"/>
      <c r="E18" s="117"/>
      <c r="F18" s="117"/>
      <c r="G18" s="117"/>
      <c r="H18" s="117"/>
      <c r="I18" s="79" t="s">
        <v>47</v>
      </c>
      <c r="J18" s="78" t="s">
        <v>45</v>
      </c>
      <c r="K18" s="79" t="s">
        <v>38</v>
      </c>
      <c r="L18" s="87" t="s">
        <v>184</v>
      </c>
      <c r="M18" s="88">
        <f>VLOOKUP('MATRIZ DE RIESGOS DE SST'!L18,'MAPAS DE RIESGOS INHER Y RESID'!$E$3:$F$7,2,FALSE)</f>
        <v>2</v>
      </c>
      <c r="N18" s="87" t="s">
        <v>188</v>
      </c>
      <c r="O18" s="88">
        <f>VLOOKUP('MATRIZ DE RIESGOS DE SST'!N18,'MAPAS DE RIESGOS INHER Y RESID'!$O$3:$P$7,2,FALSE)</f>
        <v>16</v>
      </c>
      <c r="P18" s="88">
        <f t="shared" ref="P18:P22" si="5">+M18*O18</f>
        <v>32</v>
      </c>
      <c r="Q18" s="87" t="s">
        <v>165</v>
      </c>
      <c r="R18" s="103" t="s">
        <v>264</v>
      </c>
      <c r="S18" s="103" t="s">
        <v>264</v>
      </c>
      <c r="T18" s="103" t="s">
        <v>265</v>
      </c>
      <c r="U18" s="104" t="s">
        <v>266</v>
      </c>
      <c r="V18" s="87" t="s">
        <v>178</v>
      </c>
      <c r="W18" s="89">
        <f>VLOOKUP(V18,'MAPAS DE RIESGOS INHER Y RESID'!$E$16:$F$18,2,FALSE)</f>
        <v>0.4</v>
      </c>
      <c r="X18" s="90">
        <f>P18-(W18*P18)</f>
        <v>19.2</v>
      </c>
      <c r="Y18" s="101" t="str">
        <f>IF(OR('MAPAS DE RIESGOS INHER Y RESID'!$G$18='MATRIZ DE RIESGOS DE SST'!X18,X18&lt;'MAPAS DE RIESGOS INHER Y RESID'!$G$16+1),'MAPAS DE RIESGOS INHER Y RESID'!$M$19,IF(OR('MAPAS DE RIESGOS INHER Y RESID'!$H$17='MATRIZ DE RIESGOS DE SST'!X18,X18&lt;'MAPAS DE RIESGOS INHER Y RESID'!$I$18+1),'MAPAS DE RIESGOS INHER Y RESID'!$M$18,IF(OR('MAPAS DE RIESGOS INHER Y RESID'!$I$17='MATRIZ DE RIESGOS DE SST'!X18,X18&lt;'MAPAS DE RIESGOS INHER Y RESID'!$J$17+1),'MAPAS DE RIESGOS INHER Y RESID'!$M$17,'MAPAS DE RIESGOS INHER Y RESID'!$M$16)))</f>
        <v>MODERADO</v>
      </c>
      <c r="Z18" s="77" t="str">
        <f>VLOOKUP('MATRIZ DE RIESGOS DE SST'!Y18,'TABLA DE CRITERIOS'!$A$25:$B$28,2,FALSE)</f>
        <v>Reforzar la divulgación y aplicación de los controles existentes para mejorar su eficacia o complementar dichos controles estableciendo el plan de acción necesario, teniendo en cuenta la jerarquía de definición de controles.</v>
      </c>
    </row>
    <row r="19" spans="1:26" ht="156" x14ac:dyDescent="0.25">
      <c r="A19" s="117"/>
      <c r="B19" s="117"/>
      <c r="C19" s="117"/>
      <c r="D19" s="117"/>
      <c r="E19" s="117"/>
      <c r="F19" s="117"/>
      <c r="G19" s="117"/>
      <c r="H19" s="117"/>
      <c r="I19" s="79" t="s">
        <v>52</v>
      </c>
      <c r="J19" s="78" t="s">
        <v>207</v>
      </c>
      <c r="K19" s="79" t="s">
        <v>53</v>
      </c>
      <c r="L19" s="87" t="s">
        <v>184</v>
      </c>
      <c r="M19" s="88">
        <f>VLOOKUP('MATRIZ DE RIESGOS DE SST'!L19,'MAPAS DE RIESGOS INHER Y RESID'!$E$3:$F$7,2,FALSE)</f>
        <v>2</v>
      </c>
      <c r="N19" s="87" t="s">
        <v>187</v>
      </c>
      <c r="O19" s="88">
        <f>VLOOKUP('MATRIZ DE RIESGOS DE SST'!N19,'MAPAS DE RIESGOS INHER Y RESID'!$O$3:$P$7,2,FALSE)</f>
        <v>4</v>
      </c>
      <c r="P19" s="88">
        <f t="shared" si="5"/>
        <v>8</v>
      </c>
      <c r="Q19" s="87" t="str">
        <f>IF(OR('MAPAS DE RIESGOS INHER Y RESID'!$G$7='MATRIZ DE RIESGOS DE SST'!P19,P19&lt;'MAPAS DE RIESGOS INHER Y RESID'!$G$3+1),'MAPAS DE RIESGOS INHER Y RESID'!$M$6,IF(OR('MAPAS DE RIESGOS INHER Y RESID'!$H$5='MATRIZ DE RIESGOS DE SST'!P19,P19&lt;'MAPAS DE RIESGOS INHER Y RESID'!$I$5+1),'MAPAS DE RIESGOS INHER Y RESID'!$M$5,IF(OR('MAPAS DE RIESGOS INHER Y RESID'!$I$4='MATRIZ DE RIESGOS DE SST'!P19,P19&lt;'MAPAS DE RIESGOS INHER Y RESID'!$J$4+1),'MAPAS DE RIESGOS INHER Y RESID'!$M$4,'MAPAS DE RIESGOS INHER Y RESID'!$M$3)))</f>
        <v>BAJO</v>
      </c>
      <c r="R19" s="77" t="s">
        <v>270</v>
      </c>
      <c r="S19" s="77" t="s">
        <v>269</v>
      </c>
      <c r="T19" s="77" t="s">
        <v>267</v>
      </c>
      <c r="U19" s="77" t="s">
        <v>268</v>
      </c>
      <c r="V19" s="87" t="s">
        <v>178</v>
      </c>
      <c r="W19" s="89">
        <f>VLOOKUP(V19,'MAPAS DE RIESGOS INHER Y RESID'!$E$16:$F$18,2,FALSE)</f>
        <v>0.4</v>
      </c>
      <c r="X19" s="90">
        <f t="shared" ref="X19:X21" si="6">P19-(W19*P19)</f>
        <v>4.8</v>
      </c>
      <c r="Y19" s="101" t="str">
        <f>IF(OR('MAPAS DE RIESGOS INHER Y RESID'!$G$18='MATRIZ DE RIESGOS DE SST'!X19,X19&lt;'MAPAS DE RIESGOS INHER Y RESID'!$G$16+1),'MAPAS DE RIESGOS INHER Y RESID'!$M$19,IF(OR('MAPAS DE RIESGOS INHER Y RESID'!$H$17='MATRIZ DE RIESGOS DE SST'!X19,X19&lt;'MAPAS DE RIESGOS INHER Y RESID'!$I$18+1),'MAPAS DE RIESGOS INHER Y RESID'!$M$18,IF(OR('MAPAS DE RIESGOS INHER Y RESID'!$I$17='MATRIZ DE RIESGOS DE SST'!X19,X19&lt;'MAPAS DE RIESGOS INHER Y RESID'!$J$17+1),'MAPAS DE RIESGOS INHER Y RESID'!$M$17,'MAPAS DE RIESGOS INHER Y RESID'!$M$16)))</f>
        <v>BAJO</v>
      </c>
      <c r="Z19" s="77" t="str">
        <f>VLOOKUP('MATRIZ DE RIESGOS DE SST'!Y19,'TABLA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0" spans="1:26" ht="273" x14ac:dyDescent="0.25">
      <c r="A20" s="117"/>
      <c r="B20" s="117"/>
      <c r="C20" s="117"/>
      <c r="D20" s="117"/>
      <c r="E20" s="117"/>
      <c r="F20" s="117"/>
      <c r="G20" s="117"/>
      <c r="H20" s="117"/>
      <c r="I20" s="79" t="s">
        <v>62</v>
      </c>
      <c r="J20" s="79" t="s">
        <v>292</v>
      </c>
      <c r="K20" s="79" t="s">
        <v>63</v>
      </c>
      <c r="L20" s="87" t="s">
        <v>178</v>
      </c>
      <c r="M20" s="88">
        <f>VLOOKUP('MATRIZ DE RIESGOS DE SST'!L20,'MAPAS DE RIESGOS INHER Y RESID'!$E$3:$F$7,2,FALSE)</f>
        <v>3</v>
      </c>
      <c r="N20" s="87" t="s">
        <v>188</v>
      </c>
      <c r="O20" s="88">
        <f>VLOOKUP('MATRIZ DE RIESGOS DE SST'!N20,'MAPAS DE RIESGOS INHER Y RESID'!$O$3:$P$7,2,FALSE)</f>
        <v>16</v>
      </c>
      <c r="P20" s="88">
        <f t="shared" si="5"/>
        <v>48</v>
      </c>
      <c r="Q20" s="87" t="str">
        <f>IF(OR('MAPAS DE RIESGOS INHER Y RESID'!$G$7='MATRIZ DE RIESGOS DE SST'!P20,P20&lt;'MAPAS DE RIESGOS INHER Y RESID'!$G$3+1),'MAPAS DE RIESGOS INHER Y RESID'!$M$6,IF(OR('MAPAS DE RIESGOS INHER Y RESID'!$H$5='MATRIZ DE RIESGOS DE SST'!P20,P20&lt;'MAPAS DE RIESGOS INHER Y RESID'!$I$5+1),'MAPAS DE RIESGOS INHER Y RESID'!$M$5,IF(OR('MAPAS DE RIESGOS INHER Y RESID'!$I$4='MATRIZ DE RIESGOS DE SST'!P20,P20&lt;'MAPAS DE RIESGOS INHER Y RESID'!$J$4+1),'MAPAS DE RIESGOS INHER Y RESID'!$M$4,'MAPAS DE RIESGOS INHER Y RESID'!$M$3)))</f>
        <v>MODERADO</v>
      </c>
      <c r="R20" s="103" t="s">
        <v>273</v>
      </c>
      <c r="S20" s="104" t="s">
        <v>293</v>
      </c>
      <c r="T20" s="104" t="s">
        <v>272</v>
      </c>
      <c r="U20" s="104" t="s">
        <v>274</v>
      </c>
      <c r="V20" s="87" t="s">
        <v>179</v>
      </c>
      <c r="W20" s="89">
        <f>VLOOKUP(V20,'MAPAS DE RIESGOS INHER Y RESID'!$E$16:$F$18,2,FALSE)</f>
        <v>0.9</v>
      </c>
      <c r="X20" s="90">
        <f t="shared" si="6"/>
        <v>4.7999999999999972</v>
      </c>
      <c r="Y20" s="101" t="s">
        <v>165</v>
      </c>
      <c r="Z20" s="77" t="str">
        <f>VLOOKUP('MATRIZ DE RIESGOS DE SST'!Y20,'TABLA DE CRITERIOS'!$A$25:$B$28,2,FALSE)</f>
        <v>Reforzar la divulgación y aplicación de los controles existentes para mejorar su eficacia o complementar dichos controles estableciendo el plan de acción necesario, teniendo en cuenta la jerarquía de definición de controles.</v>
      </c>
    </row>
    <row r="21" spans="1:26" ht="156" x14ac:dyDescent="0.25">
      <c r="A21" s="117"/>
      <c r="B21" s="117"/>
      <c r="C21" s="117"/>
      <c r="D21" s="117"/>
      <c r="E21" s="117"/>
      <c r="F21" s="117"/>
      <c r="G21" s="117"/>
      <c r="H21" s="117"/>
      <c r="I21" s="79" t="s">
        <v>88</v>
      </c>
      <c r="J21" s="78" t="s">
        <v>294</v>
      </c>
      <c r="K21" s="79" t="s">
        <v>89</v>
      </c>
      <c r="L21" s="87" t="s">
        <v>184</v>
      </c>
      <c r="M21" s="88">
        <f>VLOOKUP('MATRIZ DE RIESGOS DE SST'!L21,'MAPAS DE RIESGOS INHER Y RESID'!$E$3:$F$7,2,FALSE)</f>
        <v>2</v>
      </c>
      <c r="N21" s="87" t="s">
        <v>187</v>
      </c>
      <c r="O21" s="88">
        <f>VLOOKUP('MATRIZ DE RIESGOS DE SST'!N21,'MAPAS DE RIESGOS INHER Y RESID'!$O$3:$P$7,2,FALSE)</f>
        <v>4</v>
      </c>
      <c r="P21" s="88">
        <f t="shared" si="5"/>
        <v>8</v>
      </c>
      <c r="Q21" s="87" t="str">
        <f>IF(OR('MAPAS DE RIESGOS INHER Y RESID'!$G$7='MATRIZ DE RIESGOS DE SST'!P21,P21&lt;'MAPAS DE RIESGOS INHER Y RESID'!$G$3+1),'MAPAS DE RIESGOS INHER Y RESID'!$M$6,IF(OR('MAPAS DE RIESGOS INHER Y RESID'!$H$5='MATRIZ DE RIESGOS DE SST'!P21,P21&lt;'MAPAS DE RIESGOS INHER Y RESID'!$I$5+1),'MAPAS DE RIESGOS INHER Y RESID'!$M$5,IF(OR('MAPAS DE RIESGOS INHER Y RESID'!$I$4='MATRIZ DE RIESGOS DE SST'!P21,P21&lt;'MAPAS DE RIESGOS INHER Y RESID'!$J$4+1),'MAPAS DE RIESGOS INHER Y RESID'!$M$4,'MAPAS DE RIESGOS INHER Y RESID'!$M$3)))</f>
        <v>BAJO</v>
      </c>
      <c r="R21" s="77" t="s">
        <v>295</v>
      </c>
      <c r="S21" s="77" t="s">
        <v>319</v>
      </c>
      <c r="T21" s="77" t="s">
        <v>277</v>
      </c>
      <c r="U21" s="77" t="s">
        <v>296</v>
      </c>
      <c r="V21" s="87" t="s">
        <v>178</v>
      </c>
      <c r="W21" s="89">
        <f>VLOOKUP(V21,'MAPAS DE RIESGOS INHER Y RESID'!$E$16:$F$18,2,FALSE)</f>
        <v>0.4</v>
      </c>
      <c r="X21" s="90">
        <f t="shared" si="6"/>
        <v>4.8</v>
      </c>
      <c r="Y21" s="101" t="str">
        <f>IF(OR('MAPAS DE RIESGOS INHER Y RESID'!$G$18='MATRIZ DE RIESGOS DE SST'!X21,X21&lt;'MAPAS DE RIESGOS INHER Y RESID'!$G$16+1),'MAPAS DE RIESGOS INHER Y RESID'!$M$19,IF(OR('MAPAS DE RIESGOS INHER Y RESID'!$H$17='MATRIZ DE RIESGOS DE SST'!X21,X21&lt;'MAPAS DE RIESGOS INHER Y RESID'!$I$18+1),'MAPAS DE RIESGOS INHER Y RESID'!$M$18,IF(OR('MAPAS DE RIESGOS INHER Y RESID'!$I$17='MATRIZ DE RIESGOS DE SST'!X21,X21&lt;'MAPAS DE RIESGOS INHER Y RESID'!$J$17+1),'MAPAS DE RIESGOS INHER Y RESID'!$M$17,'MAPAS DE RIESGOS INHER Y RESID'!$M$16)))</f>
        <v>BAJO</v>
      </c>
      <c r="Z21" s="77" t="str">
        <f>VLOOKUP('MATRIZ DE RIESGOS DE SST'!Y21,'TABLA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2" spans="1:26" ht="156" x14ac:dyDescent="0.25">
      <c r="A22" s="117"/>
      <c r="B22" s="117"/>
      <c r="C22" s="117"/>
      <c r="D22" s="117"/>
      <c r="E22" s="117"/>
      <c r="F22" s="117"/>
      <c r="G22" s="117"/>
      <c r="H22" s="117"/>
      <c r="I22" s="103" t="s">
        <v>32</v>
      </c>
      <c r="J22" s="105" t="s">
        <v>278</v>
      </c>
      <c r="K22" s="104" t="s">
        <v>24</v>
      </c>
      <c r="L22" s="87" t="s">
        <v>178</v>
      </c>
      <c r="M22" s="88">
        <f>VLOOKUP('MATRIZ DE RIESGOS DE SST'!L22,'MAPAS DE RIESGOS INHER Y RESID'!$E$3:$F$7,2,FALSE)</f>
        <v>3</v>
      </c>
      <c r="N22" s="87" t="s">
        <v>188</v>
      </c>
      <c r="O22" s="88">
        <f>VLOOKUP('MATRIZ DE RIESGOS DE SST'!N22,'MAPAS DE RIESGOS INHER Y RESID'!$O$3:$P$7,2,FALSE)</f>
        <v>16</v>
      </c>
      <c r="P22" s="88">
        <f t="shared" si="5"/>
        <v>48</v>
      </c>
      <c r="Q22" s="87" t="s">
        <v>166</v>
      </c>
      <c r="R22" s="103" t="s">
        <v>298</v>
      </c>
      <c r="S22" s="103" t="s">
        <v>279</v>
      </c>
      <c r="T22" s="27" t="s">
        <v>280</v>
      </c>
      <c r="U22" s="27" t="s">
        <v>281</v>
      </c>
      <c r="V22" s="87" t="s">
        <v>179</v>
      </c>
      <c r="W22" s="89">
        <f>VLOOKUP(V22,'MAPAS DE RIESGOS INHER Y RESID'!$E$16:$F$18,2,FALSE)</f>
        <v>0.9</v>
      </c>
      <c r="X22" s="90">
        <f t="shared" ref="X22" si="7">P22-(P22*W22)</f>
        <v>4.7999999999999972</v>
      </c>
      <c r="Y22" s="101" t="s">
        <v>164</v>
      </c>
      <c r="Z22" s="77" t="str">
        <f>VLOOKUP('MATRIZ DE RIESGOS DE SST'!Y22,'TABLA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3" spans="1:26" ht="257.25" customHeight="1" x14ac:dyDescent="0.25">
      <c r="A23" s="117"/>
      <c r="B23" s="117"/>
      <c r="C23" s="117"/>
      <c r="D23" s="117"/>
      <c r="E23" s="117"/>
      <c r="F23" s="117"/>
      <c r="G23" s="117"/>
      <c r="H23" s="117"/>
      <c r="I23" s="79" t="s">
        <v>33</v>
      </c>
      <c r="J23" s="78" t="s">
        <v>34</v>
      </c>
      <c r="K23" s="79" t="s">
        <v>35</v>
      </c>
      <c r="L23" s="87" t="s">
        <v>178</v>
      </c>
      <c r="M23" s="88">
        <f>VLOOKUP('MATRIZ DE RIESGOS DE SST'!L23,'MAPAS DE RIESGOS INHER Y RESID'!$E$3:$F$7,2,FALSE)</f>
        <v>3</v>
      </c>
      <c r="N23" s="87" t="s">
        <v>188</v>
      </c>
      <c r="O23" s="88">
        <f>VLOOKUP('MATRIZ DE RIESGOS DE SST'!N23,'MAPAS DE RIESGOS INHER Y RESID'!$O$3:$P$7,2,FALSE)</f>
        <v>16</v>
      </c>
      <c r="P23" s="88">
        <f t="shared" ref="P23" si="8">+M23*O23</f>
        <v>48</v>
      </c>
      <c r="Q23" s="87" t="str">
        <f>IF(OR('MAPAS DE RIESGOS INHER Y RESID'!$G$7='MATRIZ DE RIESGOS DE SST'!P23,P23&lt;'MAPAS DE RIESGOS INHER Y RESID'!$G$3+1),'MAPAS DE RIESGOS INHER Y RESID'!$M$6,IF(OR('MAPAS DE RIESGOS INHER Y RESID'!$H$5='MATRIZ DE RIESGOS DE SST'!P23,P23&lt;'MAPAS DE RIESGOS INHER Y RESID'!$I$5+1),'MAPAS DE RIESGOS INHER Y RESID'!$M$5,IF(OR('MAPAS DE RIESGOS INHER Y RESID'!$I$4='MATRIZ DE RIESGOS DE SST'!P23,P23&lt;'MAPAS DE RIESGOS INHER Y RESID'!$J$4+1),'MAPAS DE RIESGOS INHER Y RESID'!$M$4,'MAPAS DE RIESGOS INHER Y RESID'!$M$3)))</f>
        <v>MODERADO</v>
      </c>
      <c r="R23" s="106" t="s">
        <v>264</v>
      </c>
      <c r="S23" s="77" t="s">
        <v>320</v>
      </c>
      <c r="T23" s="77" t="s">
        <v>321</v>
      </c>
      <c r="U23" s="77" t="s">
        <v>322</v>
      </c>
      <c r="V23" s="87" t="s">
        <v>178</v>
      </c>
      <c r="W23" s="89">
        <f>VLOOKUP(V23,'MAPAS DE RIESGOS INHER Y RESID'!$E$16:$F$18,2,FALSE)</f>
        <v>0.4</v>
      </c>
      <c r="X23" s="90">
        <f t="shared" ref="X23" si="9">P23-(P23*W23)</f>
        <v>28.799999999999997</v>
      </c>
      <c r="Y23" s="101" t="s">
        <v>164</v>
      </c>
      <c r="Z23" s="77" t="str">
        <f>VLOOKUP('MATRIZ DE RIESGOS DE SST'!Y23,'TABLA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4" spans="1:26" ht="351" x14ac:dyDescent="0.25">
      <c r="A24" s="117"/>
      <c r="B24" s="117"/>
      <c r="C24" s="117"/>
      <c r="D24" s="117"/>
      <c r="E24" s="117"/>
      <c r="F24" s="117"/>
      <c r="G24" s="117"/>
      <c r="H24" s="117"/>
      <c r="I24" s="79" t="s">
        <v>74</v>
      </c>
      <c r="J24" s="78" t="s">
        <v>75</v>
      </c>
      <c r="K24" s="79" t="s">
        <v>76</v>
      </c>
      <c r="L24" s="87" t="s">
        <v>178</v>
      </c>
      <c r="M24" s="88">
        <f>VLOOKUP('MATRIZ DE RIESGOS DE SST'!L24,'MAPAS DE RIESGOS INHER Y RESID'!$E$3:$F$7,2,FALSE)</f>
        <v>3</v>
      </c>
      <c r="N24" s="87" t="s">
        <v>188</v>
      </c>
      <c r="O24" s="88">
        <f>VLOOKUP('MATRIZ DE RIESGOS DE SST'!N24,'MAPAS DE RIESGOS INHER Y RESID'!$O$3:$P$7,2,FALSE)</f>
        <v>16</v>
      </c>
      <c r="P24" s="88">
        <f t="shared" ref="P24" si="10">+M24*O24</f>
        <v>48</v>
      </c>
      <c r="Q24" s="87" t="str">
        <f>IF(OR('MAPAS DE RIESGOS INHER Y RESID'!$G$7='MATRIZ DE RIESGOS DE SST'!P24,P24&lt;'MAPAS DE RIESGOS INHER Y RESID'!$G$3+1),'MAPAS DE RIESGOS INHER Y RESID'!$M$6,IF(OR('MAPAS DE RIESGOS INHER Y RESID'!$H$5='MATRIZ DE RIESGOS DE SST'!P24,P24&lt;'MAPAS DE RIESGOS INHER Y RESID'!$I$5+1),'MAPAS DE RIESGOS INHER Y RESID'!$M$5,IF(OR('MAPAS DE RIESGOS INHER Y RESID'!$I$4='MATRIZ DE RIESGOS DE SST'!P24,P24&lt;'MAPAS DE RIESGOS INHER Y RESID'!$J$4+1),'MAPAS DE RIESGOS INHER Y RESID'!$M$4,'MAPAS DE RIESGOS INHER Y RESID'!$M$3)))</f>
        <v>MODERADO</v>
      </c>
      <c r="R24" s="77" t="s">
        <v>312</v>
      </c>
      <c r="S24" s="77" t="s">
        <v>316</v>
      </c>
      <c r="T24" s="77" t="s">
        <v>317</v>
      </c>
      <c r="U24" s="77" t="s">
        <v>318</v>
      </c>
      <c r="V24" s="87" t="s">
        <v>179</v>
      </c>
      <c r="W24" s="89">
        <f>VLOOKUP(V24,'MAPAS DE RIESGOS INHER Y RESID'!$E$16:$F$18,2,FALSE)</f>
        <v>0.9</v>
      </c>
      <c r="X24" s="90">
        <f t="shared" ref="X24:X25" si="11">P24-(P24*W24)</f>
        <v>4.7999999999999972</v>
      </c>
      <c r="Y24" s="101" t="str">
        <f>IF(OR('MAPAS DE RIESGOS INHER Y RESID'!$G$18='MATRIZ DE RIESGOS DE SST'!X24,X24&lt;'MAPAS DE RIESGOS INHER Y RESID'!$G$16+1),'MAPAS DE RIESGOS INHER Y RESID'!$M$19,IF(OR('MAPAS DE RIESGOS INHER Y RESID'!$H$17='MATRIZ DE RIESGOS DE SST'!X24,X24&lt;'MAPAS DE RIESGOS INHER Y RESID'!$I$18+1),'MAPAS DE RIESGOS INHER Y RESID'!$M$18,IF(OR('MAPAS DE RIESGOS INHER Y RESID'!$I$17='MATRIZ DE RIESGOS DE SST'!X24,X24&lt;'MAPAS DE RIESGOS INHER Y RESID'!$J$17+1),'MAPAS DE RIESGOS INHER Y RESID'!$M$17,'MAPAS DE RIESGOS INHER Y RESID'!$M$16)))</f>
        <v>BAJO</v>
      </c>
      <c r="Z24" s="77" t="str">
        <f>VLOOKUP('MATRIZ DE RIESGOS DE SST'!Y24,'TABLA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5" spans="1:26" ht="234" x14ac:dyDescent="0.25">
      <c r="A25" s="117"/>
      <c r="B25" s="117"/>
      <c r="C25" s="117"/>
      <c r="D25" s="117"/>
      <c r="E25" s="117"/>
      <c r="F25" s="117"/>
      <c r="G25" s="117"/>
      <c r="H25" s="117"/>
      <c r="I25" s="79" t="s">
        <v>77</v>
      </c>
      <c r="J25" s="78" t="s">
        <v>228</v>
      </c>
      <c r="K25" s="79" t="s">
        <v>76</v>
      </c>
      <c r="L25" s="87" t="s">
        <v>178</v>
      </c>
      <c r="M25" s="88">
        <f>VLOOKUP('MATRIZ DE RIESGOS DE SST'!L25,'MAPAS DE RIESGOS INHER Y RESID'!$E$3:$F$7,2,FALSE)</f>
        <v>3</v>
      </c>
      <c r="N25" s="87" t="s">
        <v>188</v>
      </c>
      <c r="O25" s="88">
        <f>VLOOKUP('MATRIZ DE RIESGOS DE SST'!N25,'MAPAS DE RIESGOS INHER Y RESID'!$O$3:$P$7,2,FALSE)</f>
        <v>16</v>
      </c>
      <c r="P25" s="88">
        <f>+M25*O25</f>
        <v>48</v>
      </c>
      <c r="Q25" s="87" t="str">
        <f>IF(OR('MAPAS DE RIESGOS INHER Y RESID'!$G$7='MATRIZ DE RIESGOS DE SST'!P25,P25&lt;'MAPAS DE RIESGOS INHER Y RESID'!$G$3+1),'MAPAS DE RIESGOS INHER Y RESID'!$M$6,IF(OR('MAPAS DE RIESGOS INHER Y RESID'!$H$5='MATRIZ DE RIESGOS DE SST'!P25,P25&lt;'MAPAS DE RIESGOS INHER Y RESID'!$I$5+1),'MAPAS DE RIESGOS INHER Y RESID'!$M$5,IF(OR('MAPAS DE RIESGOS INHER Y RESID'!$I$4='MATRIZ DE RIESGOS DE SST'!P25,P25&lt;'MAPAS DE RIESGOS INHER Y RESID'!$J$4+1),'MAPAS DE RIESGOS INHER Y RESID'!$M$4,'MAPAS DE RIESGOS INHER Y RESID'!$M$3)))</f>
        <v>MODERADO</v>
      </c>
      <c r="R25" s="77" t="s">
        <v>312</v>
      </c>
      <c r="S25" s="77" t="s">
        <v>314</v>
      </c>
      <c r="T25" s="77" t="s">
        <v>313</v>
      </c>
      <c r="U25" s="77" t="s">
        <v>315</v>
      </c>
      <c r="V25" s="87" t="s">
        <v>179</v>
      </c>
      <c r="W25" s="89">
        <f>VLOOKUP(V25,'MAPAS DE RIESGOS INHER Y RESID'!$E$16:$F$18,2,FALSE)</f>
        <v>0.9</v>
      </c>
      <c r="X25" s="90">
        <f t="shared" si="11"/>
        <v>4.7999999999999972</v>
      </c>
      <c r="Y25" s="101" t="str">
        <f>IF(OR('MAPAS DE RIESGOS INHER Y RESID'!$G$18='MATRIZ DE RIESGOS DE SST'!X25,X25&lt;'MAPAS DE RIESGOS INHER Y RESID'!$G$16+1),'MAPAS DE RIESGOS INHER Y RESID'!$M$19,IF(OR('MAPAS DE RIESGOS INHER Y RESID'!$H$17='MATRIZ DE RIESGOS DE SST'!X25,X25&lt;'MAPAS DE RIESGOS INHER Y RESID'!$I$18+1),'MAPAS DE RIESGOS INHER Y RESID'!$M$18,IF(OR('MAPAS DE RIESGOS INHER Y RESID'!$I$17='MATRIZ DE RIESGOS DE SST'!X25,X25&lt;'MAPAS DE RIESGOS INHER Y RESID'!$J$17+1),'MAPAS DE RIESGOS INHER Y RESID'!$M$17,'MAPAS DE RIESGOS INHER Y RESID'!$M$16)))</f>
        <v>BAJO</v>
      </c>
      <c r="Z25" s="77" t="str">
        <f>VLOOKUP('MATRIZ DE RIESGOS DE SST'!Y25,'TABLA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6" spans="1:26" ht="409.5" x14ac:dyDescent="0.25">
      <c r="A26" s="117"/>
      <c r="B26" s="117"/>
      <c r="C26" s="117"/>
      <c r="D26" s="117"/>
      <c r="E26" s="117"/>
      <c r="F26" s="117"/>
      <c r="G26" s="117"/>
      <c r="H26" s="117"/>
      <c r="I26" s="79" t="s">
        <v>86</v>
      </c>
      <c r="J26" s="78" t="s">
        <v>210</v>
      </c>
      <c r="K26" s="79" t="s">
        <v>87</v>
      </c>
      <c r="L26" s="87" t="s">
        <v>178</v>
      </c>
      <c r="M26" s="88">
        <f>VLOOKUP('MATRIZ DE RIESGOS DE SST'!L26,'MAPAS DE RIESGOS INHER Y RESID'!$E$3:$F$7,2,FALSE)</f>
        <v>3</v>
      </c>
      <c r="N26" s="87" t="s">
        <v>188</v>
      </c>
      <c r="O26" s="88">
        <f>VLOOKUP('MATRIZ DE RIESGOS DE SST'!N26,'MAPAS DE RIESGOS INHER Y RESID'!$O$3:$P$7,2,FALSE)</f>
        <v>16</v>
      </c>
      <c r="P26" s="88">
        <f t="shared" ref="P26:P29" si="12">+M26*O26</f>
        <v>48</v>
      </c>
      <c r="Q26" s="87" t="str">
        <f>IF(OR('MAPAS DE RIESGOS INHER Y RESID'!$G$7='MATRIZ DE RIESGOS DE SST'!P26,P26&lt;'MAPAS DE RIESGOS INHER Y RESID'!$G$3+1),'MAPAS DE RIESGOS INHER Y RESID'!$M$6,IF(OR('MAPAS DE RIESGOS INHER Y RESID'!$H$5='MATRIZ DE RIESGOS DE SST'!P26,P26&lt;'MAPAS DE RIESGOS INHER Y RESID'!$I$5+1),'MAPAS DE RIESGOS INHER Y RESID'!$M$5,IF(OR('MAPAS DE RIESGOS INHER Y RESID'!$I$4='MATRIZ DE RIESGOS DE SST'!P26,P26&lt;'MAPAS DE RIESGOS INHER Y RESID'!$J$4+1),'MAPAS DE RIESGOS INHER Y RESID'!$M$4,'MAPAS DE RIESGOS INHER Y RESID'!$M$3)))</f>
        <v>MODERADO</v>
      </c>
      <c r="R26" s="77" t="s">
        <v>308</v>
      </c>
      <c r="S26" s="77" t="s">
        <v>309</v>
      </c>
      <c r="T26" s="77" t="s">
        <v>311</v>
      </c>
      <c r="U26" s="77" t="s">
        <v>310</v>
      </c>
      <c r="V26" s="87" t="s">
        <v>179</v>
      </c>
      <c r="W26" s="89">
        <f>VLOOKUP(V26,'MAPAS DE RIESGOS INHER Y RESID'!$E$16:$F$18,2,FALSE)</f>
        <v>0.9</v>
      </c>
      <c r="X26" s="90">
        <f t="shared" ref="X26:X29" si="13">P26-(P26*W26)</f>
        <v>4.7999999999999972</v>
      </c>
      <c r="Y26" s="101" t="str">
        <f>IF(OR('MAPAS DE RIESGOS INHER Y RESID'!$G$18='MATRIZ DE RIESGOS DE SST'!X26,X26&lt;'MAPAS DE RIESGOS INHER Y RESID'!$G$16+1),'MAPAS DE RIESGOS INHER Y RESID'!$M$19,IF(OR('MAPAS DE RIESGOS INHER Y RESID'!$H$17='MATRIZ DE RIESGOS DE SST'!X26,X26&lt;'MAPAS DE RIESGOS INHER Y RESID'!$I$18+1),'MAPAS DE RIESGOS INHER Y RESID'!$M$18,IF(OR('MAPAS DE RIESGOS INHER Y RESID'!$I$17='MATRIZ DE RIESGOS DE SST'!X26,X26&lt;'MAPAS DE RIESGOS INHER Y RESID'!$J$17+1),'MAPAS DE RIESGOS INHER Y RESID'!$M$17,'MAPAS DE RIESGOS INHER Y RESID'!$M$16)))</f>
        <v>BAJO</v>
      </c>
      <c r="Z26" s="77" t="str">
        <f>VLOOKUP('MATRIZ DE RIESGOS DE SST'!Y26,'TABLA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7" spans="1:26" ht="370.5" x14ac:dyDescent="0.25">
      <c r="A27" s="117"/>
      <c r="B27" s="117"/>
      <c r="C27" s="117"/>
      <c r="D27" s="117"/>
      <c r="E27" s="117"/>
      <c r="F27" s="117"/>
      <c r="G27" s="117"/>
      <c r="H27" s="117"/>
      <c r="I27" s="79" t="s">
        <v>93</v>
      </c>
      <c r="J27" s="78" t="s">
        <v>222</v>
      </c>
      <c r="K27" s="79" t="s">
        <v>94</v>
      </c>
      <c r="L27" s="87" t="s">
        <v>184</v>
      </c>
      <c r="M27" s="88">
        <f>VLOOKUP('MATRIZ DE RIESGOS DE SST'!L27,'MAPAS DE RIESGOS INHER Y RESID'!$E$3:$F$7,2,FALSE)</f>
        <v>2</v>
      </c>
      <c r="N27" s="87" t="s">
        <v>188</v>
      </c>
      <c r="O27" s="88">
        <f>VLOOKUP('MATRIZ DE RIESGOS DE SST'!N27,'MAPAS DE RIESGOS INHER Y RESID'!$O$3:$P$7,2,FALSE)</f>
        <v>16</v>
      </c>
      <c r="P27" s="88">
        <f t="shared" ref="P27:P28" si="14">+M27*O27</f>
        <v>32</v>
      </c>
      <c r="Q27" s="87" t="str">
        <f>IF(OR('MAPAS DE RIESGOS INHER Y RESID'!$G$7='MATRIZ DE RIESGOS DE SST'!P27,P27&lt;'MAPAS DE RIESGOS INHER Y RESID'!$G$3+1),'MAPAS DE RIESGOS INHER Y RESID'!$M$6,IF(OR('MAPAS DE RIESGOS INHER Y RESID'!$H$5='MATRIZ DE RIESGOS DE SST'!P27,P27&lt;'MAPAS DE RIESGOS INHER Y RESID'!$I$5+1),'MAPAS DE RIESGOS INHER Y RESID'!$M$5,IF(OR('MAPAS DE RIESGOS INHER Y RESID'!$I$4='MATRIZ DE RIESGOS DE SST'!P27,P27&lt;'MAPAS DE RIESGOS INHER Y RESID'!$J$4+1),'MAPAS DE RIESGOS INHER Y RESID'!$M$4,'MAPAS DE RIESGOS INHER Y RESID'!$M$3)))</f>
        <v>MODERADO</v>
      </c>
      <c r="R27" s="104" t="s">
        <v>306</v>
      </c>
      <c r="S27" s="104" t="s">
        <v>307</v>
      </c>
      <c r="T27" s="104" t="s">
        <v>300</v>
      </c>
      <c r="U27" s="104" t="s">
        <v>301</v>
      </c>
      <c r="V27" s="87" t="s">
        <v>178</v>
      </c>
      <c r="W27" s="89">
        <f>VLOOKUP(V27,'MAPAS DE RIESGOS INHER Y RESID'!$E$16:$F$18,2,FALSE)</f>
        <v>0.4</v>
      </c>
      <c r="X27" s="90">
        <f t="shared" ref="X27:X28" si="15">P27-(P27*W27)</f>
        <v>19.2</v>
      </c>
      <c r="Y27" s="101" t="s">
        <v>164</v>
      </c>
      <c r="Z27" s="77" t="str">
        <f>VLOOKUP('MATRIZ DE RIESGOS DE SST'!Y27,'TABLA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8" spans="1:26" ht="234" x14ac:dyDescent="0.25">
      <c r="A28" s="117"/>
      <c r="B28" s="117"/>
      <c r="C28" s="117"/>
      <c r="D28" s="117"/>
      <c r="E28" s="117"/>
      <c r="F28" s="117"/>
      <c r="G28" s="117"/>
      <c r="H28" s="117"/>
      <c r="I28" s="79" t="s">
        <v>95</v>
      </c>
      <c r="J28" s="78" t="s">
        <v>96</v>
      </c>
      <c r="K28" s="79" t="s">
        <v>97</v>
      </c>
      <c r="L28" s="87" t="s">
        <v>184</v>
      </c>
      <c r="M28" s="88">
        <f>VLOOKUP('MATRIZ DE RIESGOS DE SST'!L28,'MAPAS DE RIESGOS INHER Y RESID'!$E$3:$F$7,2,FALSE)</f>
        <v>2</v>
      </c>
      <c r="N28" s="87" t="s">
        <v>187</v>
      </c>
      <c r="O28" s="88">
        <f>VLOOKUP('MATRIZ DE RIESGOS DE SST'!N28,'MAPAS DE RIESGOS INHER Y RESID'!$O$3:$P$7,2,FALSE)</f>
        <v>4</v>
      </c>
      <c r="P28" s="88">
        <f t="shared" si="14"/>
        <v>8</v>
      </c>
      <c r="Q28" s="87" t="str">
        <f>IF(OR('MAPAS DE RIESGOS INHER Y RESID'!$G$7='MATRIZ DE RIESGOS DE SST'!P28,P28&lt;'MAPAS DE RIESGOS INHER Y RESID'!$G$3+1),'MAPAS DE RIESGOS INHER Y RESID'!$M$6,IF(OR('MAPAS DE RIESGOS INHER Y RESID'!$H$5='MATRIZ DE RIESGOS DE SST'!P28,P28&lt;'MAPAS DE RIESGOS INHER Y RESID'!$I$5+1),'MAPAS DE RIESGOS INHER Y RESID'!$M$5,IF(OR('MAPAS DE RIESGOS INHER Y RESID'!$I$4='MATRIZ DE RIESGOS DE SST'!P28,P28&lt;'MAPAS DE RIESGOS INHER Y RESID'!$J$4+1),'MAPAS DE RIESGOS INHER Y RESID'!$M$4,'MAPAS DE RIESGOS INHER Y RESID'!$M$3)))</f>
        <v>BAJO</v>
      </c>
      <c r="R28" s="104" t="s">
        <v>304</v>
      </c>
      <c r="S28" s="104" t="s">
        <v>303</v>
      </c>
      <c r="T28" s="104" t="s">
        <v>300</v>
      </c>
      <c r="U28" s="104" t="s">
        <v>301</v>
      </c>
      <c r="V28" s="87" t="s">
        <v>178</v>
      </c>
      <c r="W28" s="89">
        <f>VLOOKUP(V28,'MAPAS DE RIESGOS INHER Y RESID'!$E$16:$F$18,2,FALSE)</f>
        <v>0.4</v>
      </c>
      <c r="X28" s="90">
        <f t="shared" si="15"/>
        <v>4.8</v>
      </c>
      <c r="Y28" s="101" t="str">
        <f>IF(OR('MAPAS DE RIESGOS INHER Y RESID'!$G$18='MATRIZ DE RIESGOS DE SST'!X28,X28&lt;'MAPAS DE RIESGOS INHER Y RESID'!$G$16+1),'MAPAS DE RIESGOS INHER Y RESID'!$M$19,IF(OR('MAPAS DE RIESGOS INHER Y RESID'!$H$17='MATRIZ DE RIESGOS DE SST'!X28,X28&lt;'MAPAS DE RIESGOS INHER Y RESID'!$I$18+1),'MAPAS DE RIESGOS INHER Y RESID'!$M$18,IF(OR('MAPAS DE RIESGOS INHER Y RESID'!$I$17='MATRIZ DE RIESGOS DE SST'!X28,X28&lt;'MAPAS DE RIESGOS INHER Y RESID'!$J$17+1),'MAPAS DE RIESGOS INHER Y RESID'!$M$17,'MAPAS DE RIESGOS INHER Y RESID'!$M$16)))</f>
        <v>BAJO</v>
      </c>
      <c r="Z28" s="77" t="str">
        <f>VLOOKUP('MATRIZ DE RIESGOS DE SST'!Y28,'TABLA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row r="29" spans="1:26" ht="292.5" x14ac:dyDescent="0.25">
      <c r="A29" s="146"/>
      <c r="B29" s="146"/>
      <c r="C29" s="146"/>
      <c r="D29" s="146"/>
      <c r="E29" s="146"/>
      <c r="F29" s="146"/>
      <c r="G29" s="146"/>
      <c r="H29" s="146"/>
      <c r="I29" s="79" t="s">
        <v>101</v>
      </c>
      <c r="J29" s="78" t="s">
        <v>220</v>
      </c>
      <c r="K29" s="79" t="s">
        <v>102</v>
      </c>
      <c r="L29" s="87" t="s">
        <v>184</v>
      </c>
      <c r="M29" s="88">
        <f>VLOOKUP('MATRIZ DE RIESGOS DE SST'!L29,'MAPAS DE RIESGOS INHER Y RESID'!$E$3:$F$7,2,FALSE)</f>
        <v>2</v>
      </c>
      <c r="N29" s="87" t="s">
        <v>187</v>
      </c>
      <c r="O29" s="88">
        <f>VLOOKUP('MATRIZ DE RIESGOS DE SST'!N29,'MAPAS DE RIESGOS INHER Y RESID'!$O$3:$P$7,2,FALSE)</f>
        <v>4</v>
      </c>
      <c r="P29" s="88">
        <f t="shared" si="12"/>
        <v>8</v>
      </c>
      <c r="Q29" s="87" t="str">
        <f>IF(OR('MAPAS DE RIESGOS INHER Y RESID'!$G$7='MATRIZ DE RIESGOS DE SST'!P29,P29&lt;'MAPAS DE RIESGOS INHER Y RESID'!$G$3+1),'MAPAS DE RIESGOS INHER Y RESID'!$M$6,IF(OR('MAPAS DE RIESGOS INHER Y RESID'!$H$5='MATRIZ DE RIESGOS DE SST'!P29,P29&lt;'MAPAS DE RIESGOS INHER Y RESID'!$I$5+1),'MAPAS DE RIESGOS INHER Y RESID'!$M$5,IF(OR('MAPAS DE RIESGOS INHER Y RESID'!$I$4='MATRIZ DE RIESGOS DE SST'!P29,P29&lt;'MAPAS DE RIESGOS INHER Y RESID'!$J$4+1),'MAPAS DE RIESGOS INHER Y RESID'!$M$4,'MAPAS DE RIESGOS INHER Y RESID'!$M$3)))</f>
        <v>BAJO</v>
      </c>
      <c r="R29" s="104" t="s">
        <v>305</v>
      </c>
      <c r="S29" s="104" t="s">
        <v>302</v>
      </c>
      <c r="T29" s="104" t="s">
        <v>300</v>
      </c>
      <c r="U29" s="104" t="s">
        <v>301</v>
      </c>
      <c r="V29" s="87" t="s">
        <v>178</v>
      </c>
      <c r="W29" s="89">
        <f>VLOOKUP(V29,'MAPAS DE RIESGOS INHER Y RESID'!$E$16:$F$18,2,FALSE)</f>
        <v>0.4</v>
      </c>
      <c r="X29" s="90">
        <f t="shared" si="13"/>
        <v>4.8</v>
      </c>
      <c r="Y29" s="101" t="str">
        <f>IF(OR('MAPAS DE RIESGOS INHER Y RESID'!$G$18='MATRIZ DE RIESGOS DE SST'!X29,X29&lt;'MAPAS DE RIESGOS INHER Y RESID'!$G$16+1),'MAPAS DE RIESGOS INHER Y RESID'!$M$19,IF(OR('MAPAS DE RIESGOS INHER Y RESID'!$H$17='MATRIZ DE RIESGOS DE SST'!X29,X29&lt;'MAPAS DE RIESGOS INHER Y RESID'!$I$18+1),'MAPAS DE RIESGOS INHER Y RESID'!$M$18,IF(OR('MAPAS DE RIESGOS INHER Y RESID'!$I$17='MATRIZ DE RIESGOS DE SST'!X29,X29&lt;'MAPAS DE RIESGOS INHER Y RESID'!$J$17+1),'MAPAS DE RIESGOS INHER Y RESID'!$M$17,'MAPAS DE RIESGOS INHER Y RESID'!$M$16)))</f>
        <v>BAJO</v>
      </c>
      <c r="Z29" s="77" t="str">
        <f>VLOOKUP('MATRIZ DE RIESGOS DE SST'!Y29,'TABLA DE CRITERIOS'!$A$25:$B$28,2,FALSE)</f>
        <v>Mantener los controles existentes, si se tiene la certeza de que se están cumpliendo los requisitos legales vigentes; en caso contrario, se debe establecer un plan de acción para darle cumplimiento a dichos requisitos, considerando la eliminación o sustitución, si aplica.</v>
      </c>
    </row>
  </sheetData>
  <autoFilter ref="A5:Z15"/>
  <mergeCells count="35">
    <mergeCell ref="F16:F29"/>
    <mergeCell ref="G16:G29"/>
    <mergeCell ref="H16:H29"/>
    <mergeCell ref="A16:A29"/>
    <mergeCell ref="B16:B29"/>
    <mergeCell ref="C16:C29"/>
    <mergeCell ref="D16:D29"/>
    <mergeCell ref="E16:E29"/>
    <mergeCell ref="A6:A15"/>
    <mergeCell ref="B6:B15"/>
    <mergeCell ref="D6:D15"/>
    <mergeCell ref="C6:C15"/>
    <mergeCell ref="E6:E15"/>
    <mergeCell ref="C1:Y1"/>
    <mergeCell ref="A1:B1"/>
    <mergeCell ref="A4:A5"/>
    <mergeCell ref="B4:C4"/>
    <mergeCell ref="D4:G4"/>
    <mergeCell ref="H4:H5"/>
    <mergeCell ref="I4:I5"/>
    <mergeCell ref="X4:X5"/>
    <mergeCell ref="H6:H15"/>
    <mergeCell ref="F6:F15"/>
    <mergeCell ref="B2:Z2"/>
    <mergeCell ref="B3:Z3"/>
    <mergeCell ref="J4:J5"/>
    <mergeCell ref="K4:K5"/>
    <mergeCell ref="Q4:Q5"/>
    <mergeCell ref="R4:U4"/>
    <mergeCell ref="V4:V5"/>
    <mergeCell ref="Y4:Y5"/>
    <mergeCell ref="L4:O4"/>
    <mergeCell ref="Z4:Z5"/>
    <mergeCell ref="W4:W5"/>
    <mergeCell ref="G6:G15"/>
  </mergeCells>
  <printOptions horizontalCentered="1"/>
  <pageMargins left="0.39370078740157483" right="0.39370078740157483" top="0.39370078740157483" bottom="0.39370078740157483" header="0.31496062992125984" footer="0.31496062992125984"/>
  <pageSetup scale="55"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cellIs" priority="456" operator="equal" id="{D6440164-8CD3-4855-8F73-064FD84562DB}">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457" operator="equal" id="{5BBA0A20-DC91-4F2C-A03C-41CCB65B91E8}">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58" operator="equal" id="{DC670425-9755-4CA0-847C-767592FB5543}">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459" operator="equal" id="{04644A2D-C146-4CFD-9BFD-1884ABDE5580}">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60" operator="equal" id="{04D804E3-4503-479F-BBFF-E08B565465AC}">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L6:L8 L14</xm:sqref>
        </x14:conditionalFormatting>
        <x14:conditionalFormatting xmlns:xm="http://schemas.microsoft.com/office/excel/2006/main">
          <x14:cfRule type="cellIs" priority="451" operator="equal" id="{3E4CDF7E-5550-4D57-9D85-0A7DE829F879}">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452" operator="equal" id="{E0004973-6D6D-43C2-8DC8-36DDC079D069}">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453" operator="equal" id="{2F45840A-0085-43AC-9AF0-701A19231CC4}">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54" operator="equal" id="{80FF7A91-0BFA-4752-8E2F-C37A6B9D013C}">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55" operator="equal" id="{39B3A32D-AC04-452F-81A4-724491F2981C}">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N6:N8 N14</xm:sqref>
        </x14:conditionalFormatting>
        <x14:conditionalFormatting xmlns:xm="http://schemas.microsoft.com/office/excel/2006/main">
          <x14:cfRule type="cellIs" priority="557" operator="equal" id="{712895BE-B728-4008-9339-AEECB3F7B8B5}">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558" operator="equal" id="{BB4B1026-88FB-4426-982C-E5834819DD08}">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563" operator="equal" id="{2F7FA46E-9E3D-46F5-BBB0-62E12C1C0EFE}">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564" operator="equal" id="{0B501C9D-934B-479F-A7AF-41870AB13D28}">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Q6:Q8 Q14</xm:sqref>
        </x14:conditionalFormatting>
        <x14:conditionalFormatting xmlns:xm="http://schemas.microsoft.com/office/excel/2006/main">
          <x14:cfRule type="cellIs" priority="443" operator="equal" id="{D8B98311-FC30-4386-92E6-06A92CFAC10F}">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44" operator="equal" id="{6D82FAF8-587A-4F75-8711-E94FACFCEB23}">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445" operator="equal" id="{EC3463DA-B4DC-4253-8E25-B2759D0BC40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46" operator="equal" id="{B09DDA04-47BA-4E9E-A181-71A5EE213334}">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V6:V8 V14:V15</xm:sqref>
        </x14:conditionalFormatting>
        <x14:conditionalFormatting xmlns:xm="http://schemas.microsoft.com/office/excel/2006/main">
          <x14:cfRule type="cellIs" priority="493" operator="equal" id="{500CC5AC-AA4F-46E7-BFD6-E0286CB5C3D4}">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94" operator="equal" id="{30090082-057C-47E4-BB07-434B4057A9A5}">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495" operator="equal" id="{0B16D8F1-2204-41E4-80CA-93F6D6DF0C8C}">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96" operator="equal" id="{C8FDC932-1496-44DC-A5BE-A23BEADB0194}">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Y6:Y8 Y14:Y15</xm:sqref>
        </x14:conditionalFormatting>
        <x14:conditionalFormatting xmlns:xm="http://schemas.microsoft.com/office/excel/2006/main">
          <x14:cfRule type="cellIs" priority="412" operator="equal" id="{C4C921AC-1E3B-4EAE-ACCF-ABDED37DD260}">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413" operator="equal" id="{BADF6DC8-F515-4FF1-A06D-89C04836B1D7}">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14" operator="equal" id="{65378C6D-7D71-4B72-A34B-67E484F73C69}">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415" operator="equal" id="{B077E363-9097-46E7-A0D1-3135A1DC452B}">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16" operator="equal" id="{DA34676F-5AA9-4567-AFAD-0713956D9373}">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L9</xm:sqref>
        </x14:conditionalFormatting>
        <x14:conditionalFormatting xmlns:xm="http://schemas.microsoft.com/office/excel/2006/main">
          <x14:cfRule type="cellIs" priority="407" operator="equal" id="{974FA5D0-51AB-4287-A4B1-379113163FF2}">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408" operator="equal" id="{67D507EB-4DD6-43C0-ABCD-A2745D437A79}">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409" operator="equal" id="{4D6AC77C-B0E5-465D-8A9E-1E8E70893FB6}">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10" operator="equal" id="{C93AF2E8-CC02-48F2-9B5D-3C2175DA82EB}">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11" operator="equal" id="{B23759D5-878C-44BA-A4F7-26C8D549B0FA}">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N9</xm:sqref>
        </x14:conditionalFormatting>
        <x14:conditionalFormatting xmlns:xm="http://schemas.microsoft.com/office/excel/2006/main">
          <x14:cfRule type="cellIs" priority="417" operator="equal" id="{A927988B-3FF0-4E60-A257-D9C725D644CE}">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18" operator="equal" id="{FBBCD4F3-E646-4ECA-AF9B-8062327EA720}">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419" operator="equal" id="{4D15ADDA-769C-4104-AA86-E6B1AB020610}">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20" operator="equal" id="{11C87EFC-FA8F-4997-A249-A04E2B126A58}">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Q9</xm:sqref>
        </x14:conditionalFormatting>
        <x14:conditionalFormatting xmlns:xm="http://schemas.microsoft.com/office/excel/2006/main">
          <x14:cfRule type="cellIs" priority="398" operator="equal" id="{6BEE23D9-6CAA-47EB-B58E-04ACEBDEDE89}">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399" operator="equal" id="{44E9C529-D38A-46BA-AA28-AB412A579393}">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00" operator="equal" id="{E2A47E96-787C-4F98-AC6E-8C8C74DE5873}">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401" operator="equal" id="{ABFE0FC7-7E54-4F29-8D13-CE8FC40ACC73}">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02" operator="equal" id="{4415C479-BB4D-4AAF-BEB6-3AD2ACF74325}">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L10</xm:sqref>
        </x14:conditionalFormatting>
        <x14:conditionalFormatting xmlns:xm="http://schemas.microsoft.com/office/excel/2006/main">
          <x14:cfRule type="cellIs" priority="393" operator="equal" id="{DB09D131-34AC-474A-A2E2-9F11FC2D97B3}">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394" operator="equal" id="{EA057AF5-F62A-4D98-892F-9AA7EF9479A4}">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395" operator="equal" id="{F1068672-9D1C-499B-A7CD-7715CF2F8628}">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96" operator="equal" id="{63619411-8145-4B00-A550-0F616CB013C1}">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97" operator="equal" id="{23D3733F-336C-465B-BDAD-0D767DA4F4AE}">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N10</xm:sqref>
        </x14:conditionalFormatting>
        <x14:conditionalFormatting xmlns:xm="http://schemas.microsoft.com/office/excel/2006/main">
          <x14:cfRule type="cellIs" priority="403" operator="equal" id="{ACB03054-D9E2-4DD2-92B3-44D99931E0B6}">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04" operator="equal" id="{B4139C20-2BED-491D-B3DF-48019056D59D}">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405" operator="equal" id="{1C73C5AD-EFB8-4D8C-BEA3-E1E6E9AD170F}">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06" operator="equal" id="{67CFB9C6-48A4-4D6A-8038-681CB0167B27}">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Q10</xm:sqref>
        </x14:conditionalFormatting>
        <x14:conditionalFormatting xmlns:xm="http://schemas.microsoft.com/office/excel/2006/main">
          <x14:cfRule type="cellIs" priority="384" operator="equal" id="{DFF9BD76-4C6C-40C6-9A05-0E6932E334E8}">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385" operator="equal" id="{0B98186D-088A-4CD9-B9F4-F854E3FA07D3}">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86" operator="equal" id="{0BAAEC08-622C-461E-BD24-5800B85FC6EA}">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87" operator="equal" id="{FBDBADB2-7560-4395-AEAA-8B0A116835B0}">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88" operator="equal" id="{80AF7A15-EA02-4072-9F46-331FB47755D3}">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L11</xm:sqref>
        </x14:conditionalFormatting>
        <x14:conditionalFormatting xmlns:xm="http://schemas.microsoft.com/office/excel/2006/main">
          <x14:cfRule type="cellIs" priority="379" operator="equal" id="{05BAA515-2A3E-43AD-A3ED-C53176903950}">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380" operator="equal" id="{543E3A84-91F5-42D5-9270-BF4AD91682B8}">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381" operator="equal" id="{D0550EE3-E36A-40F1-95BC-703FF53BD971}">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82" operator="equal" id="{F489A27C-6E9F-4E6C-9222-3176948D9264}">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83" operator="equal" id="{A20CE693-6606-4100-8765-E2F79ABF31C0}">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N11</xm:sqref>
        </x14:conditionalFormatting>
        <x14:conditionalFormatting xmlns:xm="http://schemas.microsoft.com/office/excel/2006/main">
          <x14:cfRule type="cellIs" priority="389" operator="equal" id="{F617EB9B-CA89-4286-9CCC-986319D84CF7}">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90" operator="equal" id="{A6F98B2E-0CEB-44AF-8D32-1385496F2D21}">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91" operator="equal" id="{39A83002-1308-4E53-BD36-F1A85D2A1D3C}">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92" operator="equal" id="{002B2DF5-8C39-48DA-8A3F-6CDAC74C4C76}">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Q11</xm:sqref>
        </x14:conditionalFormatting>
        <x14:conditionalFormatting xmlns:xm="http://schemas.microsoft.com/office/excel/2006/main">
          <x14:cfRule type="cellIs" priority="370" operator="equal" id="{891073FE-7E76-4DBC-82A8-7ADE08DF947F}">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371" operator="equal" id="{3977AFC4-5D2C-48CB-AB72-1C523C93B56C}">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72" operator="equal" id="{3384E2D8-3640-4694-9575-8ED5D24D5049}">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73" operator="equal" id="{E83D4FA1-6A58-461F-9CFA-F348B4DF2251}">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74" operator="equal" id="{7EFB25EE-7195-45C7-92CB-998D72AB53AB}">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L12:L13</xm:sqref>
        </x14:conditionalFormatting>
        <x14:conditionalFormatting xmlns:xm="http://schemas.microsoft.com/office/excel/2006/main">
          <x14:cfRule type="cellIs" priority="365" operator="equal" id="{BFF34CA3-3D05-4946-8E0E-01BDA4A67FE6}">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366" operator="equal" id="{5C8D8F4C-7460-41FA-95A7-75CAEEAE062B}">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367" operator="equal" id="{6E53D2AF-27CF-4DE3-AED0-C5DA92967366}">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68" operator="equal" id="{9D2C234B-A47D-4791-81D7-44CE59CE63F5}">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69" operator="equal" id="{243A2264-424D-4811-96F3-F0F94D9B34D6}">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N12:N13</xm:sqref>
        </x14:conditionalFormatting>
        <x14:conditionalFormatting xmlns:xm="http://schemas.microsoft.com/office/excel/2006/main">
          <x14:cfRule type="cellIs" priority="375" operator="equal" id="{0F25039C-6D3F-440C-BFC9-729C97801F28}">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76" operator="equal" id="{7AA8E401-061C-42E3-AC21-4A80FB7B80B8}">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77" operator="equal" id="{5FD069D4-2FBC-4E74-ACB2-467897E4647E}">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78" operator="equal" id="{91F21A47-3CD3-493A-8B8F-21CC430358A2}">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Q12:Q13</xm:sqref>
        </x14:conditionalFormatting>
        <x14:conditionalFormatting xmlns:xm="http://schemas.microsoft.com/office/excel/2006/main">
          <x14:cfRule type="cellIs" priority="353" operator="equal" id="{27289ADF-511F-44A5-A43A-E55267263D59}">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54" operator="equal" id="{C022E3A1-392F-49C7-B258-49D4028B7832}">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55" operator="equal" id="{613AAD44-B474-4302-8206-5FD9176A5F85}">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56" operator="equal" id="{9A42C25B-81AA-4F37-9B31-701E13538C94}">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V13</xm:sqref>
        </x14:conditionalFormatting>
        <x14:conditionalFormatting xmlns:xm="http://schemas.microsoft.com/office/excel/2006/main">
          <x14:cfRule type="cellIs" priority="357" operator="equal" id="{D3D230F1-A33C-4959-9314-6B18A07F1286}">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58" operator="equal" id="{2B00EE91-6E6D-420D-8B0D-D13756486768}">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59" operator="equal" id="{0E009FF4-BF4A-4C30-8B06-622D836A8EE4}">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60" operator="equal" id="{DAB8F766-3F64-49E2-BA91-DB5603441DA1}">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Y13</xm:sqref>
        </x14:conditionalFormatting>
        <x14:conditionalFormatting xmlns:xm="http://schemas.microsoft.com/office/excel/2006/main">
          <x14:cfRule type="cellIs" priority="345" operator="equal" id="{69846DB9-FB41-4549-8589-CC95606571A1}">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46" operator="equal" id="{A5AD131F-4024-401B-958C-DE52EAAEFD7C}">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47" operator="equal" id="{93047E2A-2697-4EA2-A8DC-1AE0F93B069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48" operator="equal" id="{0AEFC9C5-5B69-494A-9887-AA40D0050410}">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V12</xm:sqref>
        </x14:conditionalFormatting>
        <x14:conditionalFormatting xmlns:xm="http://schemas.microsoft.com/office/excel/2006/main">
          <x14:cfRule type="cellIs" priority="349" operator="equal" id="{79C52F21-CB33-4E18-BECC-1D3993D076FB}">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50" operator="equal" id="{E55477A3-C490-4921-92F8-D7B1EB48E08F}">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51" operator="equal" id="{C787D130-9930-42B0-A87D-7C77DA46968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52" operator="equal" id="{4BE891B4-F320-4909-97A2-0EE98F3B319F}">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Y12</xm:sqref>
        </x14:conditionalFormatting>
        <x14:conditionalFormatting xmlns:xm="http://schemas.microsoft.com/office/excel/2006/main">
          <x14:cfRule type="cellIs" priority="337" operator="equal" id="{B0BD7407-D780-4042-A51A-2C079223DE50}">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38" operator="equal" id="{070C7FAD-4307-4F73-9435-4778B690679C}">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39" operator="equal" id="{174D9B0B-B2DF-4B89-9D85-645C2F0582BF}">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40" operator="equal" id="{A5CFBA72-E422-4EAD-B34C-ACE3F963AF25}">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V11</xm:sqref>
        </x14:conditionalFormatting>
        <x14:conditionalFormatting xmlns:xm="http://schemas.microsoft.com/office/excel/2006/main">
          <x14:cfRule type="cellIs" priority="341" operator="equal" id="{87DE19B8-3093-4A31-BAE7-5D4C104E5AD1}">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42" operator="equal" id="{C074512E-505C-4A79-AE22-EE55BA6D1399}">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43" operator="equal" id="{29B1D13F-7434-4BC5-8C79-645FDA5E52A6}">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44" operator="equal" id="{E46E5A42-99ED-4B80-935E-24AF8CC7DDC3}">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Y11</xm:sqref>
        </x14:conditionalFormatting>
        <x14:conditionalFormatting xmlns:xm="http://schemas.microsoft.com/office/excel/2006/main">
          <x14:cfRule type="cellIs" priority="329" operator="equal" id="{0F681686-7B3E-4963-BB3F-B159B6BBA74E}">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30" operator="equal" id="{F44ECA43-9A8C-4100-BBC7-FCD655FBC683}">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31" operator="equal" id="{FB2E4014-C92C-4E50-9C13-4FB0CC591A80}">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32" operator="equal" id="{36B0ECAB-F451-4C93-8F91-922FCBC675B7}">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V10</xm:sqref>
        </x14:conditionalFormatting>
        <x14:conditionalFormatting xmlns:xm="http://schemas.microsoft.com/office/excel/2006/main">
          <x14:cfRule type="cellIs" priority="333" operator="equal" id="{9968DBED-5AA1-4187-8540-B3117EAA7875}">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34" operator="equal" id="{0D6D13A8-2992-4B53-99A4-4DB4D316A652}">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35" operator="equal" id="{6566EE37-8434-41FE-A921-90E7B30F369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36" operator="equal" id="{C9DACEF8-BE0E-4825-8DEA-FFFC531564E3}">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Y10</xm:sqref>
        </x14:conditionalFormatting>
        <x14:conditionalFormatting xmlns:xm="http://schemas.microsoft.com/office/excel/2006/main">
          <x14:cfRule type="cellIs" priority="313" operator="equal" id="{B74D3B31-745D-4E50-951B-5F6077242927}">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14" operator="equal" id="{13A1DA77-5747-45C6-BD17-01C818CED1E2}">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15" operator="equal" id="{60814CE5-6981-4F25-AFFF-B754BBC76934}">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16" operator="equal" id="{913F1C3E-3021-4234-9F18-7EFEC1F31799}">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V9</xm:sqref>
        </x14:conditionalFormatting>
        <x14:conditionalFormatting xmlns:xm="http://schemas.microsoft.com/office/excel/2006/main">
          <x14:cfRule type="cellIs" priority="309" operator="equal" id="{70D6E8F8-AA95-4DD2-BD1C-B4D49DA1C1C7}">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10" operator="equal" id="{8FF95C94-7B1B-436F-8182-C6AA74792565}">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11" operator="equal" id="{39196476-EDAC-499E-97ED-79F763772B12}">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12" operator="equal" id="{FE37B3B7-0AEC-4C92-AC1F-08F3D74D657E}">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Y9</xm:sqref>
        </x14:conditionalFormatting>
        <x14:conditionalFormatting xmlns:xm="http://schemas.microsoft.com/office/excel/2006/main">
          <x14:cfRule type="cellIs" priority="300" operator="equal" id="{72314999-1758-4E49-BC9E-923782ECEFA1}">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301" operator="equal" id="{7C065CE3-B790-4135-A3D9-31A1B73BA622}">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02" operator="equal" id="{964C11EA-020F-47B6-AD81-B9332F855480}">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03" operator="equal" id="{358B9524-7915-4680-A684-7468DF062899}">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04" operator="equal" id="{6599200B-CE1E-41CB-825D-C00002269D2A}">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cellIs" priority="295" operator="equal" id="{67797401-1DB8-4233-90F4-2830F8177E1D}">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296" operator="equal" id="{ACC52EAE-5D73-4F58-83CB-4BC164AB9263}">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297" operator="equal" id="{402FEFCC-D112-4CDE-A4DB-437FC46FEA2A}">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98" operator="equal" id="{4E85D2E2-B7E4-4E9F-9D79-32F9D366610A}">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99" operator="equal" id="{5A320530-B375-444A-B254-4D0965A154D1}">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N15</xm:sqref>
        </x14:conditionalFormatting>
        <x14:conditionalFormatting xmlns:xm="http://schemas.microsoft.com/office/excel/2006/main">
          <x14:cfRule type="cellIs" priority="305" operator="equal" id="{A04867A5-2AB2-42C1-B4FB-7D9E21D481D1}">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06" operator="equal" id="{2CC85BCB-B6D7-4F64-A5FF-6F9244A38C53}">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07" operator="equal" id="{CC3147CB-CC35-4F4E-A85F-2C5F28C7AA8A}">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08" operator="equal" id="{F0222A56-66DC-4180-8E32-857960D239DC}">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Q15</xm:sqref>
        </x14:conditionalFormatting>
        <x14:conditionalFormatting xmlns:xm="http://schemas.microsoft.com/office/excel/2006/main">
          <x14:cfRule type="cellIs" priority="282" operator="equal" id="{BDE02DE5-0D83-44F5-845A-99DDD60BA9F2}">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283" operator="equal" id="{306C6F8D-BCE9-41B8-B166-C7B71554038B}">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84" operator="equal" id="{FAB392AB-FC05-4992-AEEC-A1627BD2D429}">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85" operator="equal" id="{F10EE67B-0CDE-442A-8A2D-18AD84B49266}">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86" operator="equal" id="{2ED0384C-5A80-4818-823E-28D9F6D9AB27}">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L26 L29</xm:sqref>
        </x14:conditionalFormatting>
        <x14:conditionalFormatting xmlns:xm="http://schemas.microsoft.com/office/excel/2006/main">
          <x14:cfRule type="cellIs" priority="277" operator="equal" id="{BD3906A3-550A-4575-B703-BF815E36D0FC}">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278" operator="equal" id="{483FB204-6445-4B52-BD79-63D33A131999}">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279" operator="equal" id="{55BB67D7-1C06-4A93-B7B3-26113F3798BC}">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80" operator="equal" id="{E39C85F9-80D1-46DA-A538-6F8BF0F39AAE}">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81" operator="equal" id="{0AC9B2F8-2D2E-42D1-AA78-5E170C9E2F09}">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N26 N29</xm:sqref>
        </x14:conditionalFormatting>
        <x14:conditionalFormatting xmlns:xm="http://schemas.microsoft.com/office/excel/2006/main">
          <x14:cfRule type="cellIs" priority="291" operator="equal" id="{2333C096-14BF-42FB-8E10-233F211CBBDC}">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92" operator="equal" id="{49F30204-877F-419F-AAB6-FCC94F9F82CE}">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93" operator="equal" id="{DE20EA8A-D14F-4D67-AA04-8AE47DAC082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94" operator="equal" id="{E6EED662-FFE2-47DB-B38D-4E8A04078C63}">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Q26 Q29</xm:sqref>
        </x14:conditionalFormatting>
        <x14:conditionalFormatting xmlns:xm="http://schemas.microsoft.com/office/excel/2006/main">
          <x14:cfRule type="cellIs" priority="273" operator="equal" id="{E87B053B-EE64-4334-9D00-63D458F414EA}">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74" operator="equal" id="{0D382622-0D63-4ADC-BFEB-E9E621EE86C2}">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75" operator="equal" id="{6AC2D60E-0CE2-49A8-84E8-F6AA199F190A}">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76" operator="equal" id="{2D5CB8C5-990D-4B04-9A3C-0B51373B909A}">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V26 V29</xm:sqref>
        </x14:conditionalFormatting>
        <x14:conditionalFormatting xmlns:xm="http://schemas.microsoft.com/office/excel/2006/main">
          <x14:cfRule type="cellIs" priority="287" operator="equal" id="{0EB2509A-AA01-4973-949F-1078CBEB867E}">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88" operator="equal" id="{6D456782-4347-4977-A85E-BA7DF0DF2260}">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89" operator="equal" id="{3ECC4E92-CB0F-413A-85D0-17F9A858F945}">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90" operator="equal" id="{F96D14B0-DF03-4B98-A78D-85B5AE69A9D7}">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Y26 Y29</xm:sqref>
        </x14:conditionalFormatting>
        <x14:conditionalFormatting xmlns:xm="http://schemas.microsoft.com/office/excel/2006/main">
          <x14:cfRule type="cellIs" priority="199" operator="equal" id="{5A2FBE85-8348-4016-B852-AAA08028D8C8}">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00" operator="equal" id="{137E4662-1985-4B61-8517-2F0B278E8E5F}">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01" operator="equal" id="{EEC89401-8FF6-4D45-BD29-C1B0EFE3B94D}">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02" operator="equal" id="{5DAE98B3-7D7F-4238-85AE-764E9C94D6DA}">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Y16</xm:sqref>
        </x14:conditionalFormatting>
        <x14:conditionalFormatting xmlns:xm="http://schemas.microsoft.com/office/excel/2006/main">
          <x14:cfRule type="cellIs" priority="238" operator="equal" id="{093B4D98-D9BE-44C0-8F28-CBC73DBF152C}">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239" operator="equal" id="{50D5EE4D-FC88-471C-AAA1-3BFE40EAB645}">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40" operator="equal" id="{6696D235-45B3-49FD-9D0A-918F083E80A9}">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41" operator="equal" id="{96431BEB-0E38-42A2-A848-144A53BA5062}">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42" operator="equal" id="{C2568BB1-BB7B-4130-ACC3-841B40A828A6}">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L24:L25</xm:sqref>
        </x14:conditionalFormatting>
        <x14:conditionalFormatting xmlns:xm="http://schemas.microsoft.com/office/excel/2006/main">
          <x14:cfRule type="cellIs" priority="233" operator="equal" id="{29E63466-8F99-4055-816A-1008B431D967}">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234" operator="equal" id="{A8E6BC0C-BB1A-4174-9810-535A96E2898D}">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235" operator="equal" id="{7D5F63FE-39BF-44A8-A79C-6723BCD715BE}">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36" operator="equal" id="{E440BA15-11BF-4296-A656-9A789E81D958}">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37" operator="equal" id="{FB19C25B-AC99-4571-903E-77A91CEB5FEC}">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N24:N25</xm:sqref>
        </x14:conditionalFormatting>
        <x14:conditionalFormatting xmlns:xm="http://schemas.microsoft.com/office/excel/2006/main">
          <x14:cfRule type="cellIs" priority="247" operator="equal" id="{0CF94CDC-816C-477C-B28A-EA63CE9A1093}">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48" operator="equal" id="{5FB661EC-8CF8-45ED-A4F8-F77F0E6F3853}">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49" operator="equal" id="{0F43AE9B-3E96-4EA9-A186-8410EBA01D8A}">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50" operator="equal" id="{E0FC1688-7A57-4CBF-962E-68979DC9ACB4}">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Q24:Q25</xm:sqref>
        </x14:conditionalFormatting>
        <x14:conditionalFormatting xmlns:xm="http://schemas.microsoft.com/office/excel/2006/main">
          <x14:cfRule type="cellIs" priority="229" operator="equal" id="{D05A35B0-8C97-4132-B03D-74A164A1C232}">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30" operator="equal" id="{8C67BC11-E7B9-4632-A885-86B1BA7A322A}">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31" operator="equal" id="{87D15067-C645-442B-B09F-107A7F567B3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32" operator="equal" id="{8DE8778B-FEBA-4EE7-AC85-85A858617F34}">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V24:V25</xm:sqref>
        </x14:conditionalFormatting>
        <x14:conditionalFormatting xmlns:xm="http://schemas.microsoft.com/office/excel/2006/main">
          <x14:cfRule type="cellIs" priority="243" operator="equal" id="{87959553-196F-4F0E-B8A1-7CF634A69BC2}">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44" operator="equal" id="{DB801AEF-F52D-42C1-910B-492D9A3A55EC}">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45" operator="equal" id="{CB917D5E-F40B-4DFC-A57D-8B9B03D143DA}">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46" operator="equal" id="{B97B292B-5737-49E2-AED3-663A195510C7}">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Y24:Y25</xm:sqref>
        </x14:conditionalFormatting>
        <x14:conditionalFormatting xmlns:xm="http://schemas.microsoft.com/office/excel/2006/main">
          <x14:cfRule type="cellIs" priority="216" operator="equal" id="{0A3B9E24-F3D2-4CF7-BABD-87B05BCBAC66}">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217" operator="equal" id="{F94B7B32-B7F6-4867-9EB5-F8B1C8F88E8E}">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18" operator="equal" id="{7D578A49-A077-47EC-8729-C4DC45226915}">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19" operator="equal" id="{42686787-9E0A-4625-8018-EB96BBD7DB1C}">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20" operator="equal" id="{DA4A4D06-6F1E-45FE-A367-9CCFF84EAEE3}">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cellIs" priority="211" operator="equal" id="{C42FD834-6EDC-4E82-96F0-EEF37E8AF645}">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212" operator="equal" id="{692AF4F2-2E29-42E5-B36C-6776FD08A60E}">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213" operator="equal" id="{A39A0832-BF5D-4A07-8A04-A35981A67FE2}">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14" operator="equal" id="{75979484-7DEE-48DE-91DF-C8EC267D78FC}">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15" operator="equal" id="{E5F14C39-509C-4218-B120-1A4F2CAEC48D}">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N23</xm:sqref>
        </x14:conditionalFormatting>
        <x14:conditionalFormatting xmlns:xm="http://schemas.microsoft.com/office/excel/2006/main">
          <x14:cfRule type="cellIs" priority="225" operator="equal" id="{4952D69E-AF40-48CE-9272-11855CBFC41B}">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26" operator="equal" id="{963BEF1E-C9DE-4E65-9A3A-A8A80A77C75F}">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27" operator="equal" id="{6D9A77D2-62DE-428F-AA72-2CB672EC6ED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28" operator="equal" id="{D1075360-9DC8-4D3C-A18A-39096B42E1DE}">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Q23</xm:sqref>
        </x14:conditionalFormatting>
        <x14:conditionalFormatting xmlns:xm="http://schemas.microsoft.com/office/excel/2006/main">
          <x14:cfRule type="cellIs" priority="207" operator="equal" id="{23D98B0F-0EDF-4E5E-94FA-AD47911E8E55}">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08" operator="equal" id="{CF33B7FC-CD70-425E-B2A1-225B26D7E0CB}">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09" operator="equal" id="{5F6DB53F-E4AF-4023-9D32-37673E97A99D}">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10" operator="equal" id="{4F104B3B-FEEC-4CAE-AD1E-3489E2435CF5}">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V23</xm:sqref>
        </x14:conditionalFormatting>
        <x14:conditionalFormatting xmlns:xm="http://schemas.microsoft.com/office/excel/2006/main">
          <x14:cfRule type="cellIs" priority="221" operator="equal" id="{7870CC47-402A-4DD5-9407-6362900B1EA7}">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22" operator="equal" id="{2C5D02ED-AF44-4575-A93F-D0B29572AB9C}">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23" operator="equal" id="{2B61B73A-B02A-4E0E-B671-9BE19AE32539}">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24" operator="equal" id="{5373C000-A6AA-412C-AD3D-6FA541E02366}">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Y23</xm:sqref>
        </x14:conditionalFormatting>
        <x14:conditionalFormatting xmlns:xm="http://schemas.microsoft.com/office/excel/2006/main">
          <x14:cfRule type="cellIs" priority="194" operator="equal" id="{A72221EC-74D2-4ADC-91BE-11A8FD3609AA}">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95" operator="equal" id="{367EE4D9-99B6-4263-97B9-C2044D302A05}">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96" operator="equal" id="{CE818A76-DCB0-48F0-A332-FEB971D31364}">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97" operator="equal" id="{A6B5983E-3609-4962-9B90-97605E17972D}">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98" operator="equal" id="{72B34407-BBF9-448C-9DF7-A835555E6364}">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L16</xm:sqref>
        </x14:conditionalFormatting>
        <x14:conditionalFormatting xmlns:xm="http://schemas.microsoft.com/office/excel/2006/main">
          <x14:cfRule type="cellIs" priority="189" operator="equal" id="{B7371528-194B-43CC-B35F-204A1BD3CCD1}">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190" operator="equal" id="{BE25F7B8-80D2-48B4-B4EF-B30A1B2A4C6F}">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91" operator="equal" id="{D21ABA82-6B29-4EB9-8BD2-01D680AA2116}">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92" operator="equal" id="{B0605F9C-377C-45F5-8BD1-F3DCE596806E}">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93" operator="equal" id="{7E43A168-A157-4522-8FB0-8AD42293CE37}">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N16</xm:sqref>
        </x14:conditionalFormatting>
        <x14:conditionalFormatting xmlns:xm="http://schemas.microsoft.com/office/excel/2006/main">
          <x14:cfRule type="cellIs" priority="203" operator="equal" id="{51102A6C-5E12-46BE-B18F-D44F564405EC}">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04" operator="equal" id="{5063E21A-9C53-4BAE-A2AE-29A203F600A9}">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05" operator="equal" id="{D66556E0-C6F7-4B2F-87D4-411AD455CB69}">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06" operator="equal" id="{863CCA42-98B8-4A3B-A0E6-DF2370159E77}">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Q16</xm:sqref>
        </x14:conditionalFormatting>
        <x14:conditionalFormatting xmlns:xm="http://schemas.microsoft.com/office/excel/2006/main">
          <x14:cfRule type="cellIs" priority="185" operator="equal" id="{EC7B01D6-22B5-4556-A85E-11EF9A51F72A}">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86" operator="equal" id="{AD1A928D-8BF3-486B-AF5E-1D515270A269}">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87" operator="equal" id="{DCAEF47A-45A6-4B37-ABCB-65EB96B972A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88" operator="equal" id="{8109160A-60B9-4F4A-A8BC-0746A678AE7C}">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V16</xm:sqref>
        </x14:conditionalFormatting>
        <x14:conditionalFormatting xmlns:xm="http://schemas.microsoft.com/office/excel/2006/main">
          <x14:cfRule type="cellIs" priority="177" operator="equal" id="{72CD65C6-A1E5-4F74-BCC1-42F9BC15A7BE}">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78" operator="equal" id="{D8455412-88BF-4F9B-BBED-1C56AE698D66}">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79" operator="equal" id="{878CF5B4-5A67-499A-A570-AE7F262E9248}">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80" operator="equal" id="{7DDE600C-BE0D-4539-94B5-C86AD3E2F27D}">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Y17</xm:sqref>
        </x14:conditionalFormatting>
        <x14:conditionalFormatting xmlns:xm="http://schemas.microsoft.com/office/excel/2006/main">
          <x14:cfRule type="cellIs" priority="172" operator="equal" id="{7936B914-2F6B-498D-AEB8-3201DA1FE2F1}">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73" operator="equal" id="{7497523E-1F40-4D2D-9AA1-45CFBA4F18F4}">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74" operator="equal" id="{41D6E924-FABA-43C8-B40C-5A2713DAAAF0}">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75" operator="equal" id="{B02E0D2A-B58E-466E-A1C6-3E290D35E3E5}">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76" operator="equal" id="{CDDF41EF-BD58-4B04-9FAE-4266BE0D5D4C}">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cellIs" priority="167" operator="equal" id="{7320EBF1-6F40-43AB-9EAB-76E101D4ED8A}">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168" operator="equal" id="{B84498AD-F019-4096-BC22-B7FBA15D81AE}">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69" operator="equal" id="{7D7AE4E5-B600-4B28-A482-9A480CBA9BCF}">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70" operator="equal" id="{BF629ABD-0613-43C8-9C1C-D62F9CC03FB0}">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71" operator="equal" id="{3D48669D-192A-4309-992E-59F5C1738A28}">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N17</xm:sqref>
        </x14:conditionalFormatting>
        <x14:conditionalFormatting xmlns:xm="http://schemas.microsoft.com/office/excel/2006/main">
          <x14:cfRule type="cellIs" priority="181" operator="equal" id="{CF1C29EC-2185-47B5-8846-6E825F4593DD}">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82" operator="equal" id="{B80CBD74-68BC-4155-B9CB-BF0A09655C56}">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83" operator="equal" id="{BD9EC100-5E5E-4842-A99C-249BE90CD905}">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84" operator="equal" id="{CDB191D9-373F-4886-8FC5-F1ED3EFC6743}">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Q17</xm:sqref>
        </x14:conditionalFormatting>
        <x14:conditionalFormatting xmlns:xm="http://schemas.microsoft.com/office/excel/2006/main">
          <x14:cfRule type="cellIs" priority="163" operator="equal" id="{5A0FB200-A71F-4BDD-9C33-736D3B3348AD}">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64" operator="equal" id="{C8A95290-0AC8-4AA0-B935-3971FEEEB425}">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65" operator="equal" id="{86AD911F-AA3C-4660-A561-F4E6B11A5C7E}">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66" operator="equal" id="{5CAA79A1-5575-4BD6-BB92-5EEB1E7E55C7}">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cellIs" priority="154" operator="equal" id="{1D652067-FD1D-4A49-8450-73982B617213}">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55" operator="equal" id="{F9E570C5-8149-4F3B-B68D-E35BCF275EAB}">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56" operator="equal" id="{6259E76B-713B-4381-8DE4-F07E5B1EC39F}">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57" operator="equal" id="{A7B0F15F-AD78-4535-B4FE-C53E5529B292}">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58" operator="equal" id="{8C9716F1-FA8A-44E9-8AAF-6BE6E19410E1}">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L18</xm:sqref>
        </x14:conditionalFormatting>
        <x14:conditionalFormatting xmlns:xm="http://schemas.microsoft.com/office/excel/2006/main">
          <x14:cfRule type="cellIs" priority="149" operator="equal" id="{3DC8BEA1-84B0-4345-85EE-9F39E80D6356}">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150" operator="equal" id="{5F7F30F9-90DE-4C72-B9B1-2DAB7738A97E}">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51" operator="equal" id="{EDCCB8C4-C96A-4972-8E5C-A7EA76ECBDA6}">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52" operator="equal" id="{831320E4-7A93-4506-81A1-082F39B43FD1}">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53" operator="equal" id="{40487787-E78B-40BD-A023-069C2F0B1F27}">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N18</xm:sqref>
        </x14:conditionalFormatting>
        <x14:conditionalFormatting xmlns:xm="http://schemas.microsoft.com/office/excel/2006/main">
          <x14:cfRule type="cellIs" priority="159" operator="equal" id="{3F7F4846-A085-4BBD-BBD3-2A54259AF5C2}">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60" operator="equal" id="{BAD8CE0E-FFBA-4518-9167-A755494C4B65}">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61" operator="equal" id="{B7438B6C-06F4-4AD4-81F1-22416617550D}">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62" operator="equal" id="{AC4D3D90-0CE0-4D4F-B940-8E65C490D1FB}">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Q18</xm:sqref>
        </x14:conditionalFormatting>
        <x14:conditionalFormatting xmlns:xm="http://schemas.microsoft.com/office/excel/2006/main">
          <x14:cfRule type="cellIs" priority="140" operator="equal" id="{EF267E1D-991A-4051-87D0-1417E386CEFD}">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41" operator="equal" id="{D0801E89-4A62-4AB6-9EB3-B8479FC725F7}">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42" operator="equal" id="{52477771-BF9F-41CA-8FBD-9386315DE7EB}">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43" operator="equal" id="{BC275833-7B53-4500-AC6B-992818D3C515}">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44" operator="equal" id="{57C49B34-F789-4C3A-81E9-A7DAD77E633C}">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cellIs" priority="135" operator="equal" id="{594FAF79-8CC4-4D6F-8DEB-C12CDE21F1E8}">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136" operator="equal" id="{3D277AF7-0D43-46E2-A7D2-5CE68B272EBC}">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37" operator="equal" id="{30D5CD04-5E68-4260-A8F1-9A4E7A83BACE}">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38" operator="equal" id="{F2814098-F988-485A-8F5E-3E5F09643EF1}">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39" operator="equal" id="{61818A16-CC73-43AA-A09F-B5840BC1A3E8}">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N19</xm:sqref>
        </x14:conditionalFormatting>
        <x14:conditionalFormatting xmlns:xm="http://schemas.microsoft.com/office/excel/2006/main">
          <x14:cfRule type="cellIs" priority="145" operator="equal" id="{B1C9755C-788F-4CF6-9713-D855CCD6E0F8}">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46" operator="equal" id="{66995910-66EA-41E6-A601-30EF262DED98}">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47" operator="equal" id="{EB66021B-0B40-4E34-908D-D6D41514312B}">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48" operator="equal" id="{CF4D932F-B33F-4F76-8BF9-CA7B2CDF222E}">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Q19</xm:sqref>
        </x14:conditionalFormatting>
        <x14:conditionalFormatting xmlns:xm="http://schemas.microsoft.com/office/excel/2006/main">
          <x14:cfRule type="cellIs" priority="127" operator="equal" id="{C4715799-EA15-4D66-B31B-240EF13B5303}">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28" operator="equal" id="{2905AD60-8429-4AAC-BDA8-58B943AE3A56}">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29" operator="equal" id="{4AFB9D4C-F090-43B9-96B6-69E29A4B4254}">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30" operator="equal" id="{7F9C7E43-51AA-4FAF-AAF7-57ABBF877A69}">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V19</xm:sqref>
        </x14:conditionalFormatting>
        <x14:conditionalFormatting xmlns:xm="http://schemas.microsoft.com/office/excel/2006/main">
          <x14:cfRule type="cellIs" priority="131" operator="equal" id="{2D338EBF-8931-41E7-8FD6-EE8D742BFEC0}">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32" operator="equal" id="{9CB6C2C3-4D78-4908-87DC-95AB74DB9255}">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33" operator="equal" id="{39502135-FE21-4EB7-8CEF-38CC735F31C3}">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34" operator="equal" id="{00A6B319-6860-46B3-884F-101B21C0030E}">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Y19</xm:sqref>
        </x14:conditionalFormatting>
        <x14:conditionalFormatting xmlns:xm="http://schemas.microsoft.com/office/excel/2006/main">
          <x14:cfRule type="cellIs" priority="123" operator="equal" id="{2A97B90C-EB74-4B99-B63E-2C178B9F31C0}">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24" operator="equal" id="{38EDCC94-7D7F-4C86-8294-477B40F8DC5D}">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25" operator="equal" id="{BF10EC91-70FA-47EB-A953-3FD0FF0F26F4}">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26" operator="equal" id="{10F26871-6643-417D-9503-8E258C6CB190}">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V18</xm:sqref>
        </x14:conditionalFormatting>
        <x14:conditionalFormatting xmlns:xm="http://schemas.microsoft.com/office/excel/2006/main">
          <x14:cfRule type="cellIs" priority="119" operator="equal" id="{77F985ED-9DE8-4810-B277-452FA13BA0DC}">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20" operator="equal" id="{B19D1195-C55A-4041-805A-D0FBA3846707}">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21" operator="equal" id="{11A15BBB-C749-439E-B802-D88CBEF06EC9}">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22" operator="equal" id="{C2E89D1D-0E84-47DB-84E2-91857EEB64D0}">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Y18</xm:sqref>
        </x14:conditionalFormatting>
        <x14:conditionalFormatting xmlns:xm="http://schemas.microsoft.com/office/excel/2006/main">
          <x14:cfRule type="cellIs" priority="110" operator="equal" id="{6AEDF8AC-1530-4003-B675-49A13C4FC5BC}">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11" operator="equal" id="{DD732390-BEA2-4E9E-BCC4-03613F4CB2DD}">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12" operator="equal" id="{00654CA9-86B3-43DA-B064-DD7528C4547D}">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13" operator="equal" id="{E1003B5A-36DF-4528-BD6E-7649365F2D01}">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14" operator="equal" id="{6A08F885-5B23-4B65-9E26-5005FF32D994}">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L20:L21</xm:sqref>
        </x14:conditionalFormatting>
        <x14:conditionalFormatting xmlns:xm="http://schemas.microsoft.com/office/excel/2006/main">
          <x14:cfRule type="cellIs" priority="105" operator="equal" id="{8F3364D9-236C-48C7-B675-F7576B980114}">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106" operator="equal" id="{F90DC30F-0195-4632-90B7-8AFAE8A6EEC6}">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07" operator="equal" id="{6BF42FE3-01B8-4808-9CDC-8B8F0A82E68C}">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08" operator="equal" id="{B2F6BBB6-41FC-4AFA-9FC3-2AF8BA6FC556}">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09" operator="equal" id="{A7E24FB0-5C6D-4852-8F37-21E116B6752D}">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N20:N21</xm:sqref>
        </x14:conditionalFormatting>
        <x14:conditionalFormatting xmlns:xm="http://schemas.microsoft.com/office/excel/2006/main">
          <x14:cfRule type="cellIs" priority="115" operator="equal" id="{60C994E7-936B-4195-A291-90492DE6C623}">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16" operator="equal" id="{23512EFD-9AA8-49A9-B01C-8C2F430A7879}">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17" operator="equal" id="{14E8F4A1-CCF4-4AE5-A6D1-784C8EE4DA90}">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18" operator="equal" id="{4BE9EAF0-5B0D-485F-98F8-B696194E68AE}">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Q20:Q21</xm:sqref>
        </x14:conditionalFormatting>
        <x14:conditionalFormatting xmlns:xm="http://schemas.microsoft.com/office/excel/2006/main">
          <x14:cfRule type="cellIs" priority="97" operator="equal" id="{F27B2ECC-77CB-4430-B165-299EB4C20539}">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98" operator="equal" id="{19F645D6-3E31-4796-BFA8-9E1FE674E914}">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99" operator="equal" id="{8F721E1C-51A5-4967-81B1-9740C0D40FA6}">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00" operator="equal" id="{143E8C72-0CE9-44F3-A93C-06DF6D46C79C}">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V21</xm:sqref>
        </x14:conditionalFormatting>
        <x14:conditionalFormatting xmlns:xm="http://schemas.microsoft.com/office/excel/2006/main">
          <x14:cfRule type="cellIs" priority="101" operator="equal" id="{136389D7-3AE1-4449-BBC6-A716A1485DAC}">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02" operator="equal" id="{70FDCCFD-AF7C-43F2-90B8-8149938D92D0}">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03" operator="equal" id="{17CF5807-6850-4C75-A1FD-7BBAB8DCE7C8}">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04" operator="equal" id="{F14DDF1F-DC41-49F3-BF64-A230C53C1AAD}">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Y21</xm:sqref>
        </x14:conditionalFormatting>
        <x14:conditionalFormatting xmlns:xm="http://schemas.microsoft.com/office/excel/2006/main">
          <x14:cfRule type="cellIs" priority="89" operator="equal" id="{41499313-38B7-4A2D-A4ED-DF856DE6184D}">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90" operator="equal" id="{176CA91A-C346-4089-9CB0-58E9C11D131F}">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91" operator="equal" id="{916B142D-53B0-4D00-87C3-567DB090EBDB}">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92" operator="equal" id="{CB0153CA-38F5-4EDB-B11F-6B3A6B87A698}">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V20</xm:sqref>
        </x14:conditionalFormatting>
        <x14:conditionalFormatting xmlns:xm="http://schemas.microsoft.com/office/excel/2006/main">
          <x14:cfRule type="cellIs" priority="93" operator="equal" id="{BD1090E7-310D-4D36-8A67-DDD62908A43B}">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94" operator="equal" id="{0990DB23-E3FC-4D71-B868-DE4E6334FCF1}">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95" operator="equal" id="{1AA8FEA5-B5E8-4EA2-9C0B-D7DDE7960277}">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96" operator="equal" id="{556E5787-7D74-4676-813F-4D3BD057CBC1}">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Y20</xm:sqref>
        </x14:conditionalFormatting>
        <x14:conditionalFormatting xmlns:xm="http://schemas.microsoft.com/office/excel/2006/main">
          <x14:cfRule type="cellIs" priority="81" operator="equal" id="{C9A3721E-F87E-405A-B23A-F2946534C2F5}">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82" operator="equal" id="{940AFD47-637E-490B-934B-610CF8D1D639}">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83" operator="equal" id="{46C4BFA9-7AB6-4583-BC92-AB28E9D78C19}">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84" operator="equal" id="{21275615-7DFF-409D-852B-6A522C5EF768}">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cellIs" priority="85" operator="equal" id="{0A065CDC-0E8A-4413-9095-35F455108A4A}">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86" operator="equal" id="{A9053033-8A91-4A3B-A6C2-680983778298}">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87" operator="equal" id="{D0A9E71D-5A3F-4BB9-A4DB-33806E36D30B}">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88" operator="equal" id="{D3883934-284E-49D5-A3D1-2E480E5BF7E5}">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Y22</xm:sqref>
        </x14:conditionalFormatting>
        <x14:conditionalFormatting xmlns:xm="http://schemas.microsoft.com/office/excel/2006/main">
          <x14:cfRule type="cellIs" priority="72" operator="equal" id="{1088C8B7-5FE9-4E70-9DF8-178F24ABA1A0}">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73" operator="equal" id="{A604C26F-D21D-43E2-885D-C4706FEB15BE}">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74" operator="equal" id="{A66656A0-A6AD-4FD7-8414-78C96B785578}">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75" operator="equal" id="{5AFD161A-D7A1-44EA-B6FA-F0B986AE928F}">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76" operator="equal" id="{5DFBA445-7633-48E4-8BDA-578B7BEDF3F3}">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L22</xm:sqref>
        </x14:conditionalFormatting>
        <x14:conditionalFormatting xmlns:xm="http://schemas.microsoft.com/office/excel/2006/main">
          <x14:cfRule type="cellIs" priority="67" operator="equal" id="{30E47D3A-BAA9-4889-9E5C-961FA00E0B49}">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68" operator="equal" id="{9B314A8A-8A38-4ACE-91C1-F9088DBB9603}">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69" operator="equal" id="{B7DA50DE-95B8-44A5-8767-D68748A82443}">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70" operator="equal" id="{7D0D3968-198F-40B2-9FE4-F83A461DDD56}">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71" operator="equal" id="{84BA4FF4-3756-4885-AB76-4D582C2379C2}">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N22</xm:sqref>
        </x14:conditionalFormatting>
        <x14:conditionalFormatting xmlns:xm="http://schemas.microsoft.com/office/excel/2006/main">
          <x14:cfRule type="cellIs" priority="77" operator="equal" id="{4D0C9E3B-FE2B-4040-8544-C2B01DA6F556}">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78" operator="equal" id="{6CAC3D66-6362-46DB-B08E-AB82EA2A76CD}">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79" operator="equal" id="{98B181CD-8FCE-4519-8C39-44017549DDD3}">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80" operator="equal" id="{F1694CA9-20C4-4CDC-8C59-6B7FB3174C61}">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Q22</xm:sqref>
        </x14:conditionalFormatting>
        <x14:conditionalFormatting xmlns:xm="http://schemas.microsoft.com/office/excel/2006/main">
          <x14:cfRule type="cellIs" priority="32" operator="equal" id="{6028F2ED-2657-4128-AF35-1284138B4486}">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33" operator="equal" id="{48D8BABD-2AFA-47AB-B614-210A83447AAC}">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4" operator="equal" id="{E71AABFC-907F-499D-8AB8-EA63F640E2A6}">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5" operator="equal" id="{91F07107-3DCC-4915-ACEE-26DD6E4ADBA9}">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6" operator="equal" id="{C020DD3F-95B3-4290-931B-90AE18F286CB}">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cellIs" priority="27" operator="equal" id="{B3AC64DD-AAA3-4D0A-A8BB-24179A1D731E}">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28" operator="equal" id="{941E8618-921F-41D8-A771-438A16BC4BC5}">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29" operator="equal" id="{1F6D928A-06E6-4CB6-BEF1-74DBB4E09980}">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0" operator="equal" id="{8FEF1C81-55C8-44E4-9A49-4123778B8AED}">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31" operator="equal" id="{584A393A-2FDC-495B-8148-EEA829A5FC06}">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N27</xm:sqref>
        </x14:conditionalFormatting>
        <x14:conditionalFormatting xmlns:xm="http://schemas.microsoft.com/office/excel/2006/main">
          <x14:cfRule type="cellIs" priority="41" operator="equal" id="{EEBA5F7B-2BBB-45B9-8160-B6DAC924715A}">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42" operator="equal" id="{B6A33624-ECCB-4793-AF71-8F8404030BBE}">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43" operator="equal" id="{783BC5E7-3127-4EDE-B81F-9C91786FD939}">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4" operator="equal" id="{B5A2E765-E05E-4343-BACE-209626E7ED59}">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Q27</xm:sqref>
        </x14:conditionalFormatting>
        <x14:conditionalFormatting xmlns:xm="http://schemas.microsoft.com/office/excel/2006/main">
          <x14:cfRule type="cellIs" priority="23" operator="equal" id="{53B8F414-E042-4D39-AE2D-FEC5FB00924C}">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4" operator="equal" id="{96D90CFA-8EA1-4BA4-9ADD-627834DF9F9C}">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5" operator="equal" id="{B3D6B871-8B74-49CC-A05B-AC1690C6E2C1}">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6" operator="equal" id="{BB39753A-9458-4B56-BB19-D2B882219DA8}">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cellIs" priority="37" operator="equal" id="{94E2CC8A-4F4B-493B-B5F5-CF7FBF210B98}">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38" operator="equal" id="{96B07C68-9FE8-488A-8293-F2AA984A02C0}">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9" operator="equal" id="{384CC663-9053-4E8B-90EB-CBDC4B8A2763}">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0" operator="equal" id="{D231233A-D193-4306-B103-25E60B7ECD51}">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Y27</xm:sqref>
        </x14:conditionalFormatting>
        <x14:conditionalFormatting xmlns:xm="http://schemas.microsoft.com/office/excel/2006/main">
          <x14:cfRule type="cellIs" priority="10" operator="equal" id="{EBB0A0DA-3F5F-4C81-B3FD-CFA36F8F84B7}">
            <xm:f>'MAPAS DE RIESGOS INHER Y RESID'!$E$7</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11" operator="equal" id="{30AB7AD3-B5D1-48C5-8B77-4EA8548E0B2D}">
            <xm:f>'MAPAS DE RIESGOS INHER Y RESID'!$E$6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2" operator="equal" id="{5FD99785-8588-40A6-A48C-B7A15CE64145}">
            <xm:f>'MAPAS DE RIESGOS INHER Y RESID'!$E$4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3" operator="equal" id="{5DA6F262-C6B0-4B1A-A241-CF4EB1F2E52B}">
            <xm:f>'MAPAS DE RIESGOS INHER Y RESID'!$E$5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4" operator="equal" id="{5CD05E73-ED9D-4382-AE22-372DF12FF5B9}">
            <xm:f>'MAPAS DE RIESGOS INHER Y RESID'!$E$3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L28</xm:sqref>
        </x14:conditionalFormatting>
        <x14:conditionalFormatting xmlns:xm="http://schemas.microsoft.com/office/excel/2006/main">
          <x14:cfRule type="cellIs" priority="5" operator="equal" id="{7F99E44C-109B-4FE0-A46A-8A014E662FE3}">
            <xm:f>'MAPAS DE RIESGOS INHER Y RESID'!$O$6</xm:f>
            <x14:dxf>
              <font>
                <b/>
                <i val="0"/>
                <color auto="1"/>
              </font>
              <fill>
                <patternFill>
                  <bgColor rgb="FFFFC000"/>
                </patternFill>
              </fill>
              <border>
                <left style="thin">
                  <color auto="1"/>
                </left>
                <right style="thin">
                  <color auto="1"/>
                </right>
                <top style="thin">
                  <color auto="1"/>
                </top>
                <bottom style="thin">
                  <color auto="1"/>
                </bottom>
                <vertical/>
                <horizontal/>
              </border>
            </x14:dxf>
          </x14:cfRule>
          <x14:cfRule type="cellIs" priority="6" operator="equal" id="{7A688478-1901-421C-932D-6238113D1F22}">
            <xm:f>'MAPAS DE RIESGOS INHER Y RESID'!$O$3</xm:f>
            <x14:dxf>
              <font>
                <b/>
                <i val="0"/>
              </font>
              <fill>
                <patternFill>
                  <bgColor theme="0" tint="-0.14996795556505021"/>
                </patternFill>
              </fill>
              <border>
                <left style="thin">
                  <color auto="1"/>
                </left>
                <right style="thin">
                  <color auto="1"/>
                </right>
                <top style="thin">
                  <color auto="1"/>
                </top>
                <bottom style="thin">
                  <color auto="1"/>
                </bottom>
                <vertical/>
                <horizontal/>
              </border>
            </x14:dxf>
          </x14:cfRule>
          <x14:cfRule type="cellIs" priority="7" operator="equal" id="{D758DF45-A717-4C44-A772-920F7E25FCF7}">
            <xm:f>'MAPAS DE RIESGOS INHER Y RESID'!$O$4</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8" operator="equal" id="{F318040A-85DA-4091-8A91-ECF1AC3EDF08}">
            <xm:f>'MAPAS DE RIESGOS INHER Y RESID'!$O$5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9" operator="equal" id="{01E302DF-AC37-43C8-B44E-4369232A4D8B}">
            <xm:f>'MAPAS DE RIESGOS INHER Y RESID'!$O$7</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N28</xm:sqref>
        </x14:conditionalFormatting>
        <x14:conditionalFormatting xmlns:xm="http://schemas.microsoft.com/office/excel/2006/main">
          <x14:cfRule type="cellIs" priority="19" operator="equal" id="{74F3E32A-6492-40E2-A338-1398577EB1C3}">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0" operator="equal" id="{3C39DCF3-EF75-4C4A-BF04-CA3490DF1EFC}">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21" operator="equal" id="{7F915959-19F8-4C09-8BAE-5C2F02D5B8A8}">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22" operator="equal" id="{F0BFC2A2-3328-494B-851D-F9BB03340C46}">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Q28</xm:sqref>
        </x14:conditionalFormatting>
        <x14:conditionalFormatting xmlns:xm="http://schemas.microsoft.com/office/excel/2006/main">
          <x14:cfRule type="cellIs" priority="1" operator="equal" id="{E281AA26-8FB7-48A9-89E2-B96288CBB49E}">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2" operator="equal" id="{EA84F4A4-FD05-4FF4-9996-BD370294B71F}">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3" operator="equal" id="{46A3F007-DD11-47A9-BB77-3F37566BA90A}">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4" operator="equal" id="{80757F52-D37E-422D-8E06-BDB8EF86AB84}">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V28</xm:sqref>
        </x14:conditionalFormatting>
        <x14:conditionalFormatting xmlns:xm="http://schemas.microsoft.com/office/excel/2006/main">
          <x14:cfRule type="cellIs" priority="15" operator="equal" id="{147B34E5-8774-4C0D-970F-02FA5B3D9071}">
            <xm:f>'MAPAS DE RIESGOS INHER Y RESID'!$M$6</xm:f>
            <x14:dxf>
              <font>
                <b/>
                <i val="0"/>
              </font>
              <fill>
                <patternFill>
                  <bgColor rgb="FF00FF00"/>
                </patternFill>
              </fill>
              <border>
                <left style="thin">
                  <color auto="1"/>
                </left>
                <right style="thin">
                  <color auto="1"/>
                </right>
                <top style="thin">
                  <color auto="1"/>
                </top>
                <bottom style="thin">
                  <color auto="1"/>
                </bottom>
                <vertical/>
                <horizontal/>
              </border>
            </x14:dxf>
          </x14:cfRule>
          <x14:cfRule type="cellIs" priority="16" operator="equal" id="{4ABF636A-B857-4053-AA17-8E40AD680B1E}">
            <xm:f>'MAPAS DE RIESGOS INHER Y RESID'!$M$4</xm:f>
            <x14:dxf>
              <font>
                <b/>
                <i val="0"/>
              </font>
              <fill>
                <patternFill>
                  <bgColor rgb="FFFFC000"/>
                </patternFill>
              </fill>
              <border>
                <left style="thin">
                  <color auto="1"/>
                </left>
                <right style="thin">
                  <color auto="1"/>
                </right>
                <top style="thin">
                  <color auto="1"/>
                </top>
                <bottom style="thin">
                  <color auto="1"/>
                </bottom>
                <vertical/>
                <horizontal/>
              </border>
            </x14:dxf>
          </x14:cfRule>
          <x14:cfRule type="cellIs" priority="17" operator="equal" id="{6B84303D-7D98-4840-B9E1-E1B8E324EE4D}">
            <xm:f>'MAPAS DE RIESGOS INHER Y RESID'!$M$5</xm:f>
            <x14:dxf>
              <font>
                <b/>
                <i val="0"/>
                <color auto="1"/>
              </font>
              <fill>
                <patternFill>
                  <bgColor rgb="FFFFFF00"/>
                </patternFill>
              </fill>
              <border>
                <left style="thin">
                  <color auto="1"/>
                </left>
                <right style="thin">
                  <color auto="1"/>
                </right>
                <top style="thin">
                  <color auto="1"/>
                </top>
                <bottom style="thin">
                  <color auto="1"/>
                </bottom>
                <vertical/>
                <horizontal/>
              </border>
            </x14:dxf>
          </x14:cfRule>
          <x14:cfRule type="cellIs" priority="18" operator="equal" id="{6DA0AE1E-CCF7-4BFE-B785-E1E92D6FFF7E}">
            <xm:f>'MAPAS DE RIESGOS INHER Y RESID'!$M$3</xm:f>
            <x14:dxf>
              <font>
                <b/>
                <i val="0"/>
                <color auto="1"/>
              </font>
              <fill>
                <patternFill>
                  <bgColor rgb="FFFF0000"/>
                </patternFill>
              </fill>
              <border>
                <left style="thin">
                  <color auto="1"/>
                </left>
                <right style="thin">
                  <color auto="1"/>
                </right>
                <top style="thin">
                  <color auto="1"/>
                </top>
                <bottom style="thin">
                  <color auto="1"/>
                </bottom>
                <vertical/>
                <horizontal/>
              </border>
            </x14:dxf>
          </x14:cfRule>
          <xm:sqref>Y28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'MAPAS DE RIESGOS INHER Y RESID'!$E$3:$E$7</xm:f>
          </x14:formula1>
          <xm:sqref>L6:L29</xm:sqref>
        </x14:dataValidation>
        <x14:dataValidation type="list" allowBlank="1" showInputMessage="1" showErrorMessage="1">
          <x14:formula1>
            <xm:f>'MAPAS DE RIESGOS INHER Y RESID'!$G$9:$K$9</xm:f>
          </x14:formula1>
          <xm:sqref>N6:N29</xm:sqref>
        </x14:dataValidation>
        <x14:dataValidation type="list" allowBlank="1" showInputMessage="1" showErrorMessage="1">
          <x14:formula1>
            <xm:f>'MAPAS DE RIESGOS INHER Y RESID'!$E$16:$E$18</xm:f>
          </x14:formula1>
          <xm:sqref>V6:V29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65"/>
  <sheetViews>
    <sheetView zoomScale="59" zoomScaleNormal="59" workbookViewId="0">
      <pane ySplit="1" topLeftCell="A63" activePane="bottomLeft" state="frozen"/>
      <selection pane="bottomLeft" activeCell="A50" sqref="A50:C50"/>
    </sheetView>
  </sheetViews>
  <sheetFormatPr baseColWidth="10" defaultColWidth="10.85546875" defaultRowHeight="19.5" x14ac:dyDescent="0.25"/>
  <cols>
    <col min="1" max="1" width="41.42578125" style="10" customWidth="1"/>
    <col min="2" max="2" width="51.42578125" style="76" customWidth="1"/>
    <col min="3" max="3" width="56.28515625" style="11" customWidth="1"/>
    <col min="4" max="16384" width="10.85546875" style="9"/>
  </cols>
  <sheetData>
    <row r="1" spans="1:3" ht="38.1" customHeight="1" x14ac:dyDescent="0.25">
      <c r="A1" s="95" t="s">
        <v>203</v>
      </c>
      <c r="B1" s="95" t="s">
        <v>202</v>
      </c>
      <c r="C1" s="95" t="s">
        <v>142</v>
      </c>
    </row>
    <row r="2" spans="1:3" ht="78" x14ac:dyDescent="0.25">
      <c r="A2" s="79" t="s">
        <v>10</v>
      </c>
      <c r="B2" s="78" t="s">
        <v>218</v>
      </c>
      <c r="C2" s="79" t="s">
        <v>11</v>
      </c>
    </row>
    <row r="3" spans="1:3" ht="58.5" x14ac:dyDescent="0.25">
      <c r="A3" s="79" t="s">
        <v>12</v>
      </c>
      <c r="B3" s="78" t="s">
        <v>13</v>
      </c>
      <c r="C3" s="79" t="s">
        <v>11</v>
      </c>
    </row>
    <row r="4" spans="1:3" ht="409.5" x14ac:dyDescent="0.25">
      <c r="A4" s="79" t="s">
        <v>14</v>
      </c>
      <c r="B4" s="78" t="s">
        <v>235</v>
      </c>
      <c r="C4" s="79" t="s">
        <v>15</v>
      </c>
    </row>
    <row r="5" spans="1:3" ht="97.5" x14ac:dyDescent="0.25">
      <c r="A5" s="79" t="s">
        <v>16</v>
      </c>
      <c r="B5" s="78" t="s">
        <v>17</v>
      </c>
      <c r="C5" s="79" t="s">
        <v>18</v>
      </c>
    </row>
    <row r="6" spans="1:3" ht="97.5" x14ac:dyDescent="0.25">
      <c r="A6" s="79" t="s">
        <v>19</v>
      </c>
      <c r="B6" s="78" t="s">
        <v>20</v>
      </c>
      <c r="C6" s="79" t="s">
        <v>15</v>
      </c>
    </row>
    <row r="7" spans="1:3" ht="327.75" customHeight="1" x14ac:dyDescent="0.25">
      <c r="A7" s="79" t="s">
        <v>21</v>
      </c>
      <c r="B7" s="78" t="s">
        <v>234</v>
      </c>
      <c r="C7" s="79" t="s">
        <v>15</v>
      </c>
    </row>
    <row r="8" spans="1:3" ht="97.5" x14ac:dyDescent="0.25">
      <c r="A8" s="79" t="s">
        <v>22</v>
      </c>
      <c r="B8" s="78" t="s">
        <v>23</v>
      </c>
      <c r="C8" s="79" t="s">
        <v>24</v>
      </c>
    </row>
    <row r="9" spans="1:3" ht="97.5" x14ac:dyDescent="0.25">
      <c r="A9" s="79" t="s">
        <v>25</v>
      </c>
      <c r="B9" s="78" t="s">
        <v>23</v>
      </c>
      <c r="C9" s="79" t="s">
        <v>24</v>
      </c>
    </row>
    <row r="10" spans="1:3" ht="136.5" x14ac:dyDescent="0.25">
      <c r="A10" s="79" t="s">
        <v>26</v>
      </c>
      <c r="B10" s="78" t="s">
        <v>27</v>
      </c>
      <c r="C10" s="79" t="s">
        <v>24</v>
      </c>
    </row>
    <row r="11" spans="1:3" ht="117" x14ac:dyDescent="0.25">
      <c r="A11" s="79" t="s">
        <v>28</v>
      </c>
      <c r="B11" s="78" t="s">
        <v>230</v>
      </c>
      <c r="C11" s="79" t="s">
        <v>29</v>
      </c>
    </row>
    <row r="12" spans="1:3" ht="97.5" x14ac:dyDescent="0.25">
      <c r="A12" s="79" t="s">
        <v>30</v>
      </c>
      <c r="B12" s="78" t="s">
        <v>31</v>
      </c>
      <c r="C12" s="79" t="s">
        <v>24</v>
      </c>
    </row>
    <row r="13" spans="1:3" ht="97.5" x14ac:dyDescent="0.25">
      <c r="A13" s="79" t="s">
        <v>32</v>
      </c>
      <c r="B13" s="78" t="s">
        <v>253</v>
      </c>
      <c r="C13" s="79" t="s">
        <v>24</v>
      </c>
    </row>
    <row r="14" spans="1:3" ht="39" x14ac:dyDescent="0.25">
      <c r="A14" s="79" t="s">
        <v>33</v>
      </c>
      <c r="B14" s="78" t="s">
        <v>34</v>
      </c>
      <c r="C14" s="79" t="s">
        <v>35</v>
      </c>
    </row>
    <row r="15" spans="1:3" ht="78" x14ac:dyDescent="0.25">
      <c r="A15" s="79" t="s">
        <v>36</v>
      </c>
      <c r="B15" s="78" t="s">
        <v>37</v>
      </c>
      <c r="C15" s="79" t="s">
        <v>38</v>
      </c>
    </row>
    <row r="16" spans="1:3" ht="39" x14ac:dyDescent="0.25">
      <c r="A16" s="79" t="s">
        <v>39</v>
      </c>
      <c r="B16" s="78" t="s">
        <v>34</v>
      </c>
      <c r="C16" s="79" t="s">
        <v>35</v>
      </c>
    </row>
    <row r="17" spans="1:3" ht="97.5" x14ac:dyDescent="0.25">
      <c r="A17" s="79" t="s">
        <v>40</v>
      </c>
      <c r="B17" s="78" t="s">
        <v>41</v>
      </c>
      <c r="C17" s="79" t="s">
        <v>35</v>
      </c>
    </row>
    <row r="18" spans="1:3" ht="117" x14ac:dyDescent="0.25">
      <c r="A18" s="79" t="s">
        <v>42</v>
      </c>
      <c r="B18" s="78" t="s">
        <v>43</v>
      </c>
      <c r="C18" s="79" t="s">
        <v>35</v>
      </c>
    </row>
    <row r="19" spans="1:3" ht="58.5" x14ac:dyDescent="0.25">
      <c r="A19" s="79" t="s">
        <v>44</v>
      </c>
      <c r="B19" s="78" t="s">
        <v>45</v>
      </c>
      <c r="C19" s="79" t="s">
        <v>46</v>
      </c>
    </row>
    <row r="20" spans="1:3" ht="39" x14ac:dyDescent="0.25">
      <c r="A20" s="79" t="s">
        <v>47</v>
      </c>
      <c r="B20" s="78" t="s">
        <v>45</v>
      </c>
      <c r="C20" s="79" t="s">
        <v>38</v>
      </c>
    </row>
    <row r="21" spans="1:3" ht="78" x14ac:dyDescent="0.25">
      <c r="A21" s="79" t="s">
        <v>48</v>
      </c>
      <c r="B21" s="78" t="s">
        <v>49</v>
      </c>
      <c r="C21" s="79" t="s">
        <v>50</v>
      </c>
    </row>
    <row r="22" spans="1:3" ht="78" x14ac:dyDescent="0.25">
      <c r="A22" s="79" t="s">
        <v>51</v>
      </c>
      <c r="B22" s="78" t="s">
        <v>49</v>
      </c>
      <c r="C22" s="79" t="s">
        <v>50</v>
      </c>
    </row>
    <row r="23" spans="1:3" ht="58.5" x14ac:dyDescent="0.25">
      <c r="A23" s="79" t="s">
        <v>52</v>
      </c>
      <c r="B23" s="78" t="s">
        <v>207</v>
      </c>
      <c r="C23" s="79" t="s">
        <v>53</v>
      </c>
    </row>
    <row r="24" spans="1:3" ht="214.5" x14ac:dyDescent="0.25">
      <c r="A24" s="79" t="s">
        <v>54</v>
      </c>
      <c r="B24" s="78" t="s">
        <v>219</v>
      </c>
      <c r="C24" s="79" t="s">
        <v>55</v>
      </c>
    </row>
    <row r="25" spans="1:3" ht="136.5" x14ac:dyDescent="0.25">
      <c r="A25" s="79" t="s">
        <v>56</v>
      </c>
      <c r="B25" s="78" t="s">
        <v>206</v>
      </c>
      <c r="C25" s="79" t="s">
        <v>57</v>
      </c>
    </row>
    <row r="26" spans="1:3" ht="97.5" x14ac:dyDescent="0.25">
      <c r="A26" s="79" t="s">
        <v>58</v>
      </c>
      <c r="B26" s="78" t="s">
        <v>199</v>
      </c>
      <c r="C26" s="79" t="s">
        <v>59</v>
      </c>
    </row>
    <row r="27" spans="1:3" ht="370.5" x14ac:dyDescent="0.25">
      <c r="A27" s="79" t="s">
        <v>60</v>
      </c>
      <c r="B27" s="78" t="s">
        <v>226</v>
      </c>
      <c r="C27" s="79" t="s">
        <v>61</v>
      </c>
    </row>
    <row r="28" spans="1:3" ht="156" x14ac:dyDescent="0.25">
      <c r="A28" s="79" t="s">
        <v>62</v>
      </c>
      <c r="B28" s="79" t="s">
        <v>252</v>
      </c>
      <c r="C28" s="79" t="s">
        <v>63</v>
      </c>
    </row>
    <row r="29" spans="1:3" ht="195" x14ac:dyDescent="0.25">
      <c r="A29" s="79" t="s">
        <v>64</v>
      </c>
      <c r="B29" s="78" t="s">
        <v>65</v>
      </c>
      <c r="C29" s="79" t="s">
        <v>66</v>
      </c>
    </row>
    <row r="30" spans="1:3" ht="97.5" x14ac:dyDescent="0.25">
      <c r="A30" s="79" t="s">
        <v>67</v>
      </c>
      <c r="B30" s="78" t="s">
        <v>68</v>
      </c>
      <c r="C30" s="79" t="s">
        <v>69</v>
      </c>
    </row>
    <row r="31" spans="1:3" ht="173.1" customHeight="1" x14ac:dyDescent="0.25">
      <c r="A31" s="79" t="s">
        <v>70</v>
      </c>
      <c r="B31" s="78" t="s">
        <v>71</v>
      </c>
      <c r="C31" s="79" t="s">
        <v>72</v>
      </c>
    </row>
    <row r="32" spans="1:3" ht="105" customHeight="1" x14ac:dyDescent="0.25">
      <c r="A32" s="79" t="s">
        <v>209</v>
      </c>
      <c r="B32" s="78" t="s">
        <v>73</v>
      </c>
      <c r="C32" s="79" t="s">
        <v>72</v>
      </c>
    </row>
    <row r="33" spans="1:3" ht="195" x14ac:dyDescent="0.25">
      <c r="A33" s="79" t="s">
        <v>74</v>
      </c>
      <c r="B33" s="78" t="s">
        <v>75</v>
      </c>
      <c r="C33" s="79" t="s">
        <v>76</v>
      </c>
    </row>
    <row r="34" spans="1:3" ht="136.5" x14ac:dyDescent="0.25">
      <c r="A34" s="79" t="s">
        <v>77</v>
      </c>
      <c r="B34" s="78" t="s">
        <v>228</v>
      </c>
      <c r="C34" s="79" t="s">
        <v>76</v>
      </c>
    </row>
    <row r="35" spans="1:3" ht="97.5" x14ac:dyDescent="0.25">
      <c r="A35" s="79" t="s">
        <v>79</v>
      </c>
      <c r="B35" s="78" t="s">
        <v>78</v>
      </c>
      <c r="C35" s="79" t="s">
        <v>76</v>
      </c>
    </row>
    <row r="36" spans="1:3" ht="273" x14ac:dyDescent="0.25">
      <c r="A36" s="79" t="s">
        <v>80</v>
      </c>
      <c r="B36" s="78" t="s">
        <v>216</v>
      </c>
      <c r="C36" s="79" t="s">
        <v>81</v>
      </c>
    </row>
    <row r="37" spans="1:3" ht="409.5" x14ac:dyDescent="0.25">
      <c r="A37" s="79" t="s">
        <v>82</v>
      </c>
      <c r="B37" s="78" t="s">
        <v>246</v>
      </c>
      <c r="C37" s="79" t="s">
        <v>81</v>
      </c>
    </row>
    <row r="38" spans="1:3" ht="156" x14ac:dyDescent="0.25">
      <c r="A38" s="79" t="s">
        <v>83</v>
      </c>
      <c r="B38" s="78" t="s">
        <v>238</v>
      </c>
      <c r="C38" s="79" t="s">
        <v>81</v>
      </c>
    </row>
    <row r="39" spans="1:3" ht="273" x14ac:dyDescent="0.25">
      <c r="A39" s="79" t="s">
        <v>84</v>
      </c>
      <c r="B39" s="78" t="s">
        <v>245</v>
      </c>
      <c r="C39" s="79" t="s">
        <v>81</v>
      </c>
    </row>
    <row r="40" spans="1:3" ht="156" x14ac:dyDescent="0.25">
      <c r="A40" s="79" t="s">
        <v>85</v>
      </c>
      <c r="B40" s="78" t="s">
        <v>239</v>
      </c>
      <c r="C40" s="79" t="s">
        <v>81</v>
      </c>
    </row>
    <row r="41" spans="1:3" ht="156" x14ac:dyDescent="0.25">
      <c r="A41" s="79" t="s">
        <v>217</v>
      </c>
      <c r="B41" s="78" t="s">
        <v>240</v>
      </c>
      <c r="C41" s="79" t="s">
        <v>81</v>
      </c>
    </row>
    <row r="42" spans="1:3" ht="409.5" x14ac:dyDescent="0.25">
      <c r="A42" s="79" t="s">
        <v>86</v>
      </c>
      <c r="B42" s="78" t="s">
        <v>210</v>
      </c>
      <c r="C42" s="79" t="s">
        <v>87</v>
      </c>
    </row>
    <row r="43" spans="1:3" ht="136.5" x14ac:dyDescent="0.25">
      <c r="A43" s="79" t="s">
        <v>88</v>
      </c>
      <c r="B43" s="78" t="s">
        <v>227</v>
      </c>
      <c r="C43" s="79" t="s">
        <v>89</v>
      </c>
    </row>
    <row r="44" spans="1:3" ht="88.5" customHeight="1" x14ac:dyDescent="0.25">
      <c r="A44" s="79" t="s">
        <v>119</v>
      </c>
      <c r="B44" s="78" t="s">
        <v>120</v>
      </c>
      <c r="C44" s="79" t="s">
        <v>121</v>
      </c>
    </row>
    <row r="45" spans="1:3" ht="78" x14ac:dyDescent="0.25">
      <c r="A45" s="79" t="s">
        <v>90</v>
      </c>
      <c r="B45" s="78" t="s">
        <v>91</v>
      </c>
      <c r="C45" s="79" t="s">
        <v>92</v>
      </c>
    </row>
    <row r="46" spans="1:3" ht="175.5" x14ac:dyDescent="0.25">
      <c r="A46" s="79" t="s">
        <v>93</v>
      </c>
      <c r="B46" s="78" t="s">
        <v>222</v>
      </c>
      <c r="C46" s="79" t="s">
        <v>94</v>
      </c>
    </row>
    <row r="47" spans="1:3" ht="78" x14ac:dyDescent="0.25">
      <c r="A47" s="79" t="s">
        <v>95</v>
      </c>
      <c r="B47" s="78" t="s">
        <v>96</v>
      </c>
      <c r="C47" s="79" t="s">
        <v>97</v>
      </c>
    </row>
    <row r="48" spans="1:3" ht="78" x14ac:dyDescent="0.25">
      <c r="A48" s="79" t="s">
        <v>98</v>
      </c>
      <c r="B48" s="78" t="s">
        <v>211</v>
      </c>
      <c r="C48" s="79" t="s">
        <v>97</v>
      </c>
    </row>
    <row r="49" spans="1:3" ht="97.5" x14ac:dyDescent="0.25">
      <c r="A49" s="79" t="s">
        <v>225</v>
      </c>
      <c r="B49" s="78" t="s">
        <v>205</v>
      </c>
      <c r="C49" s="96" t="s">
        <v>100</v>
      </c>
    </row>
    <row r="50" spans="1:3" ht="156" x14ac:dyDescent="0.25">
      <c r="A50" s="79" t="s">
        <v>101</v>
      </c>
      <c r="B50" s="78" t="s">
        <v>220</v>
      </c>
      <c r="C50" s="79" t="s">
        <v>102</v>
      </c>
    </row>
    <row r="51" spans="1:3" ht="39" x14ac:dyDescent="0.25">
      <c r="A51" s="79" t="s">
        <v>241</v>
      </c>
      <c r="B51" s="78" t="s">
        <v>103</v>
      </c>
      <c r="C51" s="79" t="s">
        <v>104</v>
      </c>
    </row>
    <row r="52" spans="1:3" ht="136.5" x14ac:dyDescent="0.25">
      <c r="A52" s="79" t="s">
        <v>242</v>
      </c>
      <c r="B52" s="78" t="s">
        <v>243</v>
      </c>
      <c r="C52" s="79" t="s">
        <v>105</v>
      </c>
    </row>
    <row r="53" spans="1:3" ht="156" x14ac:dyDescent="0.25">
      <c r="A53" s="79" t="s">
        <v>106</v>
      </c>
      <c r="B53" s="78" t="s">
        <v>229</v>
      </c>
      <c r="C53" s="79" t="s">
        <v>107</v>
      </c>
    </row>
    <row r="54" spans="1:3" ht="175.5" x14ac:dyDescent="0.25">
      <c r="A54" s="79" t="s">
        <v>208</v>
      </c>
      <c r="B54" s="78" t="s">
        <v>221</v>
      </c>
      <c r="C54" s="79" t="s">
        <v>108</v>
      </c>
    </row>
    <row r="55" spans="1:3" ht="58.5" x14ac:dyDescent="0.25">
      <c r="A55" s="79" t="s">
        <v>109</v>
      </c>
      <c r="B55" s="78" t="s">
        <v>110</v>
      </c>
      <c r="C55" s="79" t="s">
        <v>111</v>
      </c>
    </row>
    <row r="56" spans="1:3" ht="58.5" x14ac:dyDescent="0.25">
      <c r="A56" s="79" t="s">
        <v>112</v>
      </c>
      <c r="B56" s="78" t="s">
        <v>113</v>
      </c>
      <c r="C56" s="79" t="s">
        <v>111</v>
      </c>
    </row>
    <row r="57" spans="1:3" ht="214.5" x14ac:dyDescent="0.25">
      <c r="A57" s="79" t="s">
        <v>114</v>
      </c>
      <c r="B57" s="78" t="s">
        <v>223</v>
      </c>
      <c r="C57" s="79" t="s">
        <v>115</v>
      </c>
    </row>
    <row r="58" spans="1:3" ht="39" x14ac:dyDescent="0.25">
      <c r="A58" s="79" t="s">
        <v>116</v>
      </c>
      <c r="B58" s="78" t="s">
        <v>244</v>
      </c>
      <c r="C58" s="79" t="s">
        <v>117</v>
      </c>
    </row>
    <row r="59" spans="1:3" ht="370.5" x14ac:dyDescent="0.25">
      <c r="A59" s="79" t="s">
        <v>212</v>
      </c>
      <c r="B59" s="78" t="s">
        <v>232</v>
      </c>
      <c r="C59" s="79" t="s">
        <v>118</v>
      </c>
    </row>
    <row r="60" spans="1:3" ht="390" x14ac:dyDescent="0.25">
      <c r="A60" s="79" t="s">
        <v>213</v>
      </c>
      <c r="B60" s="78" t="s">
        <v>231</v>
      </c>
      <c r="C60" s="79" t="s">
        <v>118</v>
      </c>
    </row>
    <row r="61" spans="1:3" ht="234" x14ac:dyDescent="0.25">
      <c r="A61" s="79" t="s">
        <v>214</v>
      </c>
      <c r="B61" s="78" t="s">
        <v>233</v>
      </c>
      <c r="C61" s="79" t="s">
        <v>118</v>
      </c>
    </row>
    <row r="62" spans="1:3" ht="195" x14ac:dyDescent="0.25">
      <c r="A62" s="79" t="s">
        <v>215</v>
      </c>
      <c r="B62" s="78" t="s">
        <v>224</v>
      </c>
      <c r="C62" s="79" t="s">
        <v>118</v>
      </c>
    </row>
    <row r="63" spans="1:3" ht="39" x14ac:dyDescent="0.25">
      <c r="A63" s="79" t="s">
        <v>122</v>
      </c>
      <c r="B63" s="78" t="s">
        <v>99</v>
      </c>
      <c r="C63" s="96" t="s">
        <v>38</v>
      </c>
    </row>
    <row r="64" spans="1:3" ht="156" x14ac:dyDescent="0.25">
      <c r="A64" s="79" t="s">
        <v>125</v>
      </c>
      <c r="B64" s="78" t="s">
        <v>123</v>
      </c>
      <c r="C64" s="79" t="s">
        <v>124</v>
      </c>
    </row>
    <row r="65" ht="137.1" customHeight="1" x14ac:dyDescent="0.25"/>
  </sheetData>
  <autoFilter ref="A1:C66"/>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topLeftCell="A5" zoomScale="110" zoomScaleNormal="110" workbookViewId="0">
      <selection activeCell="B5" sqref="B5"/>
    </sheetView>
  </sheetViews>
  <sheetFormatPr baseColWidth="10" defaultColWidth="10.85546875" defaultRowHeight="11.25" x14ac:dyDescent="0.15"/>
  <cols>
    <col min="1" max="1" width="21.28515625" style="12" customWidth="1"/>
    <col min="2" max="2" width="43.42578125" style="12" customWidth="1"/>
    <col min="3" max="3" width="4.85546875" style="12" customWidth="1"/>
    <col min="4" max="4" width="19.42578125" style="12" customWidth="1"/>
    <col min="5" max="5" width="13" style="12" customWidth="1"/>
    <col min="6" max="16384" width="10.85546875" style="12"/>
  </cols>
  <sheetData>
    <row r="1" spans="1:2" ht="21" customHeight="1" x14ac:dyDescent="0.15">
      <c r="A1" s="149" t="s">
        <v>126</v>
      </c>
      <c r="B1" s="149"/>
    </row>
    <row r="2" spans="1:2" ht="57" customHeight="1" x14ac:dyDescent="0.15">
      <c r="A2" s="53" t="s">
        <v>171</v>
      </c>
      <c r="B2" s="13" t="s">
        <v>127</v>
      </c>
    </row>
    <row r="3" spans="1:2" ht="51.95" customHeight="1" x14ac:dyDescent="0.15">
      <c r="A3" s="14" t="s">
        <v>128</v>
      </c>
      <c r="B3" s="13" t="s">
        <v>129</v>
      </c>
    </row>
    <row r="4" spans="1:2" ht="56.1" customHeight="1" x14ac:dyDescent="0.15">
      <c r="A4" s="15" t="s">
        <v>172</v>
      </c>
      <c r="B4" s="13" t="s">
        <v>130</v>
      </c>
    </row>
    <row r="5" spans="1:2" ht="53.1" customHeight="1" x14ac:dyDescent="0.15">
      <c r="A5" s="54" t="s">
        <v>131</v>
      </c>
      <c r="B5" s="13" t="s">
        <v>132</v>
      </c>
    </row>
    <row r="6" spans="1:2" ht="63.95" customHeight="1" x14ac:dyDescent="0.15">
      <c r="A6" s="16" t="s">
        <v>133</v>
      </c>
      <c r="B6" s="13" t="s">
        <v>134</v>
      </c>
    </row>
    <row r="8" spans="1:2" ht="30" customHeight="1" x14ac:dyDescent="0.15">
      <c r="A8" s="147" t="s">
        <v>135</v>
      </c>
      <c r="B8" s="148"/>
    </row>
    <row r="9" spans="1:2" ht="41.1" customHeight="1" x14ac:dyDescent="0.15">
      <c r="A9" s="55" t="s">
        <v>136</v>
      </c>
      <c r="B9" s="17" t="s">
        <v>137</v>
      </c>
    </row>
    <row r="10" spans="1:2" ht="45" customHeight="1" x14ac:dyDescent="0.15">
      <c r="A10" s="14" t="s">
        <v>173</v>
      </c>
      <c r="B10" s="17" t="s">
        <v>138</v>
      </c>
    </row>
    <row r="11" spans="1:2" ht="50.1" customHeight="1" x14ac:dyDescent="0.15">
      <c r="A11" s="18" t="s">
        <v>174</v>
      </c>
      <c r="B11" s="17" t="s">
        <v>139</v>
      </c>
    </row>
    <row r="12" spans="1:2" ht="45" customHeight="1" x14ac:dyDescent="0.15">
      <c r="A12" s="56" t="s">
        <v>175</v>
      </c>
      <c r="B12" s="17" t="s">
        <v>140</v>
      </c>
    </row>
    <row r="13" spans="1:2" ht="54.95" customHeight="1" x14ac:dyDescent="0.15">
      <c r="A13" s="19" t="s">
        <v>176</v>
      </c>
      <c r="B13" s="17" t="s">
        <v>141</v>
      </c>
    </row>
    <row r="15" spans="1:2" ht="330" customHeight="1" x14ac:dyDescent="0.15"/>
    <row r="17" spans="1:2" ht="27.95" customHeight="1" x14ac:dyDescent="0.15">
      <c r="A17" s="150" t="s">
        <v>157</v>
      </c>
      <c r="B17" s="151"/>
    </row>
    <row r="18" spans="1:2" ht="51.95" customHeight="1" x14ac:dyDescent="0.15">
      <c r="A18" s="62" t="s">
        <v>158</v>
      </c>
      <c r="B18" s="63" t="s">
        <v>161</v>
      </c>
    </row>
    <row r="19" spans="1:2" ht="48" customHeight="1" x14ac:dyDescent="0.15">
      <c r="A19" s="20" t="s">
        <v>159</v>
      </c>
      <c r="B19" s="63" t="s">
        <v>162</v>
      </c>
    </row>
    <row r="20" spans="1:2" ht="42.95" customHeight="1" x14ac:dyDescent="0.15">
      <c r="A20" s="21" t="s">
        <v>160</v>
      </c>
      <c r="B20" s="63" t="s">
        <v>163</v>
      </c>
    </row>
    <row r="24" spans="1:2" ht="26.1" customHeight="1" x14ac:dyDescent="0.15">
      <c r="A24" s="57" t="s">
        <v>143</v>
      </c>
      <c r="B24" s="60" t="s">
        <v>144</v>
      </c>
    </row>
    <row r="25" spans="1:2" ht="60" customHeight="1" x14ac:dyDescent="0.15">
      <c r="A25" s="64" t="s">
        <v>164</v>
      </c>
      <c r="B25" s="65" t="s">
        <v>168</v>
      </c>
    </row>
    <row r="26" spans="1:2" ht="60" customHeight="1" x14ac:dyDescent="0.15">
      <c r="A26" s="58" t="s">
        <v>165</v>
      </c>
      <c r="B26" s="61" t="s">
        <v>145</v>
      </c>
    </row>
    <row r="27" spans="1:2" ht="60" customHeight="1" x14ac:dyDescent="0.15">
      <c r="A27" s="66" t="s">
        <v>166</v>
      </c>
      <c r="B27" s="67" t="s">
        <v>169</v>
      </c>
    </row>
    <row r="28" spans="1:2" ht="60" customHeight="1" x14ac:dyDescent="0.15">
      <c r="A28" s="22" t="s">
        <v>167</v>
      </c>
      <c r="B28" s="59" t="s">
        <v>170</v>
      </c>
    </row>
  </sheetData>
  <mergeCells count="3">
    <mergeCell ref="A8:B8"/>
    <mergeCell ref="A1:B1"/>
    <mergeCell ref="A17:B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showGridLines="0" zoomScale="90" zoomScaleNormal="90" workbookViewId="0">
      <selection activeCell="S6" sqref="S6"/>
    </sheetView>
  </sheetViews>
  <sheetFormatPr baseColWidth="10" defaultColWidth="10.85546875" defaultRowHeight="14.25" x14ac:dyDescent="0.2"/>
  <cols>
    <col min="1" max="3" width="2.7109375" style="34" customWidth="1"/>
    <col min="4" max="4" width="6.42578125" style="34" customWidth="1"/>
    <col min="5" max="5" width="13.7109375" style="34" customWidth="1"/>
    <col min="6" max="6" width="6.7109375" style="34" customWidth="1"/>
    <col min="7" max="7" width="15.140625" style="34" customWidth="1"/>
    <col min="8" max="11" width="13.85546875" style="34" customWidth="1"/>
    <col min="12" max="12" width="2.7109375" style="34" customWidth="1"/>
    <col min="13" max="13" width="13.85546875" style="34" customWidth="1"/>
    <col min="14" max="14" width="10.85546875" style="34"/>
    <col min="15" max="15" width="15" style="34" bestFit="1" customWidth="1"/>
    <col min="16" max="16384" width="10.85546875" style="34"/>
  </cols>
  <sheetData>
    <row r="1" spans="1:16" ht="33.950000000000003" customHeight="1" x14ac:dyDescent="0.3">
      <c r="A1" s="33"/>
      <c r="B1" s="33"/>
      <c r="C1" s="33"/>
      <c r="D1" s="33"/>
      <c r="E1" s="33"/>
      <c r="F1" s="33"/>
      <c r="G1" s="154" t="s">
        <v>154</v>
      </c>
      <c r="H1" s="154"/>
      <c r="I1" s="154"/>
      <c r="J1" s="154"/>
      <c r="K1" s="154"/>
      <c r="L1" s="33"/>
      <c r="M1" s="33"/>
      <c r="O1" s="153" t="s">
        <v>142</v>
      </c>
      <c r="P1" s="153"/>
    </row>
    <row r="2" spans="1:16" ht="15" x14ac:dyDescent="0.2">
      <c r="A2" s="35"/>
      <c r="B2" s="33"/>
      <c r="C2" s="33"/>
      <c r="D2" s="33"/>
      <c r="E2" s="35"/>
      <c r="F2" s="35"/>
      <c r="G2" s="33"/>
      <c r="H2" s="33"/>
      <c r="I2" s="33"/>
      <c r="J2" s="33"/>
      <c r="K2" s="33"/>
      <c r="L2" s="33"/>
      <c r="M2" s="33"/>
    </row>
    <row r="3" spans="1:16" ht="50.1" customHeight="1" x14ac:dyDescent="0.2">
      <c r="A3" s="155"/>
      <c r="B3" s="36"/>
      <c r="C3" s="33"/>
      <c r="D3" s="158" t="s">
        <v>126</v>
      </c>
      <c r="E3" s="37" t="s">
        <v>192</v>
      </c>
      <c r="F3" s="38">
        <v>5</v>
      </c>
      <c r="G3" s="39">
        <f>+$F3*G$8</f>
        <v>10</v>
      </c>
      <c r="H3" s="40">
        <f t="shared" ref="H3:K6" si="0">+$F3*H$8</f>
        <v>20</v>
      </c>
      <c r="I3" s="41">
        <f t="shared" si="0"/>
        <v>80</v>
      </c>
      <c r="J3" s="42">
        <f t="shared" si="0"/>
        <v>1280</v>
      </c>
      <c r="K3" s="42">
        <f t="shared" si="0"/>
        <v>327680</v>
      </c>
      <c r="L3" s="33"/>
      <c r="M3" s="68" t="s">
        <v>182</v>
      </c>
      <c r="O3" s="73" t="s">
        <v>186</v>
      </c>
      <c r="P3" s="74">
        <v>2</v>
      </c>
    </row>
    <row r="4" spans="1:16" ht="50.1" customHeight="1" x14ac:dyDescent="0.2">
      <c r="A4" s="155"/>
      <c r="B4" s="36"/>
      <c r="C4" s="33"/>
      <c r="D4" s="158"/>
      <c r="E4" s="37" t="s">
        <v>183</v>
      </c>
      <c r="F4" s="38">
        <v>4</v>
      </c>
      <c r="G4" s="39">
        <f>+$F4*G$8</f>
        <v>8</v>
      </c>
      <c r="H4" s="40">
        <f t="shared" si="0"/>
        <v>16</v>
      </c>
      <c r="I4" s="41">
        <f t="shared" si="0"/>
        <v>64</v>
      </c>
      <c r="J4" s="41">
        <f t="shared" si="0"/>
        <v>1024</v>
      </c>
      <c r="K4" s="42">
        <f t="shared" si="0"/>
        <v>262144</v>
      </c>
      <c r="L4" s="33"/>
      <c r="M4" s="69" t="s">
        <v>166</v>
      </c>
      <c r="O4" s="73" t="s">
        <v>187</v>
      </c>
      <c r="P4" s="74">
        <v>4</v>
      </c>
    </row>
    <row r="5" spans="1:16" ht="50.1" customHeight="1" x14ac:dyDescent="0.2">
      <c r="A5" s="155"/>
      <c r="B5" s="36"/>
      <c r="C5" s="37"/>
      <c r="D5" s="158"/>
      <c r="E5" s="37" t="s">
        <v>178</v>
      </c>
      <c r="F5" s="38">
        <v>3</v>
      </c>
      <c r="G5" s="39">
        <f>+$F5*G$8</f>
        <v>6</v>
      </c>
      <c r="H5" s="40">
        <f t="shared" si="0"/>
        <v>12</v>
      </c>
      <c r="I5" s="40">
        <f t="shared" si="0"/>
        <v>48</v>
      </c>
      <c r="J5" s="41">
        <f t="shared" si="0"/>
        <v>768</v>
      </c>
      <c r="K5" s="42">
        <f t="shared" si="0"/>
        <v>196608</v>
      </c>
      <c r="L5" s="33"/>
      <c r="M5" s="70" t="s">
        <v>165</v>
      </c>
      <c r="O5" s="73" t="s">
        <v>188</v>
      </c>
      <c r="P5" s="74">
        <v>16</v>
      </c>
    </row>
    <row r="6" spans="1:16" ht="50.1" customHeight="1" x14ac:dyDescent="0.2">
      <c r="A6" s="155"/>
      <c r="B6" s="36"/>
      <c r="C6" s="33"/>
      <c r="D6" s="158"/>
      <c r="E6" s="37" t="s">
        <v>184</v>
      </c>
      <c r="F6" s="38">
        <v>2</v>
      </c>
      <c r="G6" s="39">
        <f>+$F6*G$8</f>
        <v>4</v>
      </c>
      <c r="H6" s="39">
        <f t="shared" si="0"/>
        <v>8</v>
      </c>
      <c r="I6" s="40">
        <f t="shared" si="0"/>
        <v>32</v>
      </c>
      <c r="J6" s="41">
        <f t="shared" si="0"/>
        <v>512</v>
      </c>
      <c r="K6" s="42">
        <f t="shared" si="0"/>
        <v>131072</v>
      </c>
      <c r="L6" s="33"/>
      <c r="M6" s="71" t="s">
        <v>164</v>
      </c>
      <c r="O6" s="73" t="s">
        <v>189</v>
      </c>
      <c r="P6" s="74">
        <v>256</v>
      </c>
    </row>
    <row r="7" spans="1:16" ht="50.1" customHeight="1" x14ac:dyDescent="0.2">
      <c r="A7" s="155"/>
      <c r="B7" s="36"/>
      <c r="C7" s="37"/>
      <c r="D7" s="158"/>
      <c r="E7" s="37" t="s">
        <v>185</v>
      </c>
      <c r="F7" s="38">
        <v>1</v>
      </c>
      <c r="G7" s="39">
        <f>+$F7*G$8</f>
        <v>2</v>
      </c>
      <c r="H7" s="39">
        <f t="shared" ref="H7:K7" si="1">+$F7*H$8</f>
        <v>4</v>
      </c>
      <c r="I7" s="40">
        <f t="shared" si="1"/>
        <v>16</v>
      </c>
      <c r="J7" s="41">
        <f t="shared" si="1"/>
        <v>256</v>
      </c>
      <c r="K7" s="42">
        <f t="shared" si="1"/>
        <v>65536</v>
      </c>
      <c r="L7" s="33"/>
      <c r="M7" s="33"/>
      <c r="O7" s="73" t="s">
        <v>190</v>
      </c>
      <c r="P7" s="74">
        <v>65536</v>
      </c>
    </row>
    <row r="8" spans="1:16" ht="27" customHeight="1" x14ac:dyDescent="0.2">
      <c r="A8" s="33"/>
      <c r="B8" s="33"/>
      <c r="C8" s="33"/>
      <c r="D8" s="33"/>
      <c r="E8" s="33"/>
      <c r="F8" s="33"/>
      <c r="G8" s="43">
        <v>2</v>
      </c>
      <c r="H8" s="43">
        <v>4</v>
      </c>
      <c r="I8" s="43">
        <v>16</v>
      </c>
      <c r="J8" s="43">
        <v>256</v>
      </c>
      <c r="K8" s="43">
        <v>65536</v>
      </c>
      <c r="L8" s="33"/>
      <c r="M8" s="33"/>
    </row>
    <row r="9" spans="1:16" ht="27" customHeight="1" x14ac:dyDescent="0.2">
      <c r="A9" s="33"/>
      <c r="B9" s="33"/>
      <c r="C9" s="33"/>
      <c r="D9" s="33"/>
      <c r="E9" s="33"/>
      <c r="F9" s="33"/>
      <c r="G9" s="72" t="s">
        <v>186</v>
      </c>
      <c r="H9" s="72" t="s">
        <v>187</v>
      </c>
      <c r="I9" s="72" t="s">
        <v>188</v>
      </c>
      <c r="J9" s="72" t="s">
        <v>189</v>
      </c>
      <c r="K9" s="72" t="s">
        <v>190</v>
      </c>
      <c r="L9" s="33"/>
      <c r="M9" s="33"/>
    </row>
    <row r="10" spans="1:16" ht="26.1" customHeight="1" x14ac:dyDescent="0.2">
      <c r="A10" s="33"/>
      <c r="B10" s="33"/>
      <c r="C10" s="33"/>
      <c r="D10" s="33"/>
      <c r="E10" s="33"/>
      <c r="F10" s="33"/>
      <c r="G10" s="156" t="s">
        <v>142</v>
      </c>
      <c r="H10" s="156"/>
      <c r="I10" s="156"/>
      <c r="J10" s="156"/>
      <c r="K10" s="156"/>
      <c r="L10" s="33"/>
      <c r="M10" s="33"/>
    </row>
    <row r="11" spans="1:16" ht="15" x14ac:dyDescent="0.2">
      <c r="A11" s="33"/>
      <c r="B11" s="33"/>
      <c r="C11" s="33"/>
      <c r="D11" s="33"/>
      <c r="E11" s="33"/>
      <c r="F11" s="33"/>
      <c r="G11" s="152"/>
      <c r="H11" s="152"/>
      <c r="I11" s="152"/>
      <c r="J11" s="152"/>
      <c r="K11" s="152"/>
      <c r="L11" s="33"/>
      <c r="M11" s="33"/>
    </row>
    <row r="12" spans="1:16" ht="15" x14ac:dyDescent="0.2">
      <c r="A12" s="33"/>
      <c r="B12" s="33"/>
      <c r="C12" s="33"/>
      <c r="D12" s="33"/>
      <c r="E12" s="33"/>
      <c r="F12" s="33"/>
      <c r="G12" s="44"/>
      <c r="H12" s="44"/>
      <c r="I12" s="44"/>
      <c r="J12" s="44"/>
      <c r="K12" s="44"/>
      <c r="L12" s="33"/>
      <c r="M12" s="33"/>
    </row>
    <row r="13" spans="1:16" ht="15" x14ac:dyDescent="0.2">
      <c r="A13" s="33"/>
      <c r="B13" s="33"/>
      <c r="C13" s="33"/>
      <c r="D13" s="33"/>
      <c r="E13" s="33"/>
      <c r="F13" s="33"/>
      <c r="G13" s="45"/>
      <c r="H13" s="45"/>
      <c r="I13" s="45"/>
      <c r="J13" s="45"/>
      <c r="K13" s="45"/>
      <c r="L13" s="33"/>
      <c r="M13" s="33"/>
    </row>
    <row r="14" spans="1:16" ht="33.950000000000003" customHeight="1" x14ac:dyDescent="0.3">
      <c r="A14" s="33"/>
      <c r="B14" s="33"/>
      <c r="C14" s="33"/>
      <c r="D14" s="33"/>
      <c r="E14" s="33"/>
      <c r="F14" s="33"/>
      <c r="G14" s="154" t="s">
        <v>155</v>
      </c>
      <c r="H14" s="154"/>
      <c r="I14" s="154"/>
      <c r="J14" s="154"/>
      <c r="K14" s="154"/>
      <c r="L14" s="33"/>
      <c r="M14" s="33"/>
    </row>
    <row r="15" spans="1:16" ht="15" x14ac:dyDescent="0.2">
      <c r="A15" s="157"/>
      <c r="B15" s="46"/>
      <c r="C15" s="155"/>
      <c r="D15" s="155"/>
      <c r="E15" s="155"/>
      <c r="F15" s="47"/>
      <c r="G15" s="48"/>
      <c r="H15" s="48"/>
      <c r="I15" s="48"/>
      <c r="J15" s="48"/>
      <c r="K15" s="33"/>
      <c r="L15" s="33"/>
      <c r="M15" s="33"/>
    </row>
    <row r="16" spans="1:16" ht="50.1" customHeight="1" x14ac:dyDescent="0.2">
      <c r="A16" s="157"/>
      <c r="B16" s="36"/>
      <c r="C16" s="49"/>
      <c r="D16" s="159" t="s">
        <v>157</v>
      </c>
      <c r="E16" s="75" t="s">
        <v>177</v>
      </c>
      <c r="F16" s="50">
        <v>0.15</v>
      </c>
      <c r="G16" s="51">
        <f>G$19-$F16*G$19</f>
        <v>8.5</v>
      </c>
      <c r="H16" s="40">
        <f t="shared" ref="H16:I16" si="2">H$19-$F16*H$19</f>
        <v>40.799999999999997</v>
      </c>
      <c r="I16" s="41">
        <f t="shared" si="2"/>
        <v>870.4</v>
      </c>
      <c r="J16" s="42">
        <f>J$19-$F16*J$19</f>
        <v>278528</v>
      </c>
      <c r="K16" s="33"/>
      <c r="L16" s="33"/>
      <c r="M16" s="42" t="s">
        <v>182</v>
      </c>
    </row>
    <row r="17" spans="1:13" ht="50.1" customHeight="1" x14ac:dyDescent="0.2">
      <c r="A17" s="157"/>
      <c r="B17" s="36"/>
      <c r="C17" s="49"/>
      <c r="D17" s="159"/>
      <c r="E17" s="75" t="s">
        <v>178</v>
      </c>
      <c r="F17" s="50">
        <v>0.4</v>
      </c>
      <c r="G17" s="51">
        <f>G$19-$F17*G$19</f>
        <v>6</v>
      </c>
      <c r="H17" s="40">
        <f t="shared" ref="H17:I17" si="3">H$19-$F17*H$19</f>
        <v>28.799999999999997</v>
      </c>
      <c r="I17" s="41">
        <f t="shared" si="3"/>
        <v>614.4</v>
      </c>
      <c r="J17" s="41">
        <f>J$19-$F17*J$19</f>
        <v>196608</v>
      </c>
      <c r="K17" s="33"/>
      <c r="L17" s="33"/>
      <c r="M17" s="41" t="s">
        <v>166</v>
      </c>
    </row>
    <row r="18" spans="1:13" ht="50.1" customHeight="1" x14ac:dyDescent="0.2">
      <c r="A18" s="157"/>
      <c r="B18" s="36"/>
      <c r="C18" s="49"/>
      <c r="D18" s="159"/>
      <c r="E18" s="75" t="s">
        <v>179</v>
      </c>
      <c r="F18" s="50">
        <v>0.9</v>
      </c>
      <c r="G18" s="51">
        <f>G$19-$F18*G$19</f>
        <v>1</v>
      </c>
      <c r="H18" s="51">
        <f>H$19-$F18*H$19</f>
        <v>4.7999999999999972</v>
      </c>
      <c r="I18" s="40">
        <f>I$19-$F18*I$19</f>
        <v>102.39999999999998</v>
      </c>
      <c r="J18" s="41">
        <f>J$19-$F18*J$19</f>
        <v>32768</v>
      </c>
      <c r="K18" s="33"/>
      <c r="L18" s="33"/>
      <c r="M18" s="40" t="s">
        <v>165</v>
      </c>
    </row>
    <row r="19" spans="1:13" ht="30" customHeight="1" x14ac:dyDescent="0.2">
      <c r="A19" s="33"/>
      <c r="B19" s="33"/>
      <c r="C19" s="33"/>
      <c r="D19" s="33"/>
      <c r="E19" s="33"/>
      <c r="F19" s="50"/>
      <c r="G19" s="52">
        <v>10</v>
      </c>
      <c r="H19" s="52">
        <v>48</v>
      </c>
      <c r="I19" s="52">
        <v>1024</v>
      </c>
      <c r="J19" s="52">
        <v>327680</v>
      </c>
      <c r="K19" s="33"/>
      <c r="L19" s="33"/>
      <c r="M19" s="39" t="s">
        <v>164</v>
      </c>
    </row>
    <row r="20" spans="1:13" ht="26.25" customHeight="1" x14ac:dyDescent="0.2">
      <c r="A20" s="33"/>
      <c r="B20" s="33"/>
      <c r="C20" s="33"/>
      <c r="D20" s="33"/>
      <c r="E20" s="33"/>
      <c r="F20" s="50"/>
      <c r="G20" s="75" t="s">
        <v>180</v>
      </c>
      <c r="H20" s="75" t="s">
        <v>165</v>
      </c>
      <c r="I20" s="75" t="s">
        <v>181</v>
      </c>
      <c r="J20" s="75" t="s">
        <v>167</v>
      </c>
      <c r="K20" s="33"/>
      <c r="L20" s="33"/>
      <c r="M20" s="33"/>
    </row>
    <row r="21" spans="1:13" ht="26.1" customHeight="1" x14ac:dyDescent="0.2">
      <c r="A21" s="33"/>
      <c r="B21" s="33"/>
      <c r="C21" s="33"/>
      <c r="D21" s="33"/>
      <c r="E21" s="33"/>
      <c r="F21" s="50"/>
      <c r="G21" s="156" t="s">
        <v>156</v>
      </c>
      <c r="H21" s="156"/>
      <c r="I21" s="156"/>
      <c r="J21" s="156"/>
      <c r="K21" s="33"/>
      <c r="L21" s="33"/>
      <c r="M21" s="33"/>
    </row>
    <row r="22" spans="1:13" ht="15" x14ac:dyDescent="0.2">
      <c r="A22" s="33"/>
      <c r="B22" s="33"/>
      <c r="C22" s="33"/>
      <c r="D22" s="33"/>
      <c r="E22" s="33"/>
      <c r="F22" s="50"/>
      <c r="G22" s="152"/>
      <c r="H22" s="152"/>
      <c r="I22" s="152"/>
      <c r="J22" s="152"/>
      <c r="K22" s="33"/>
      <c r="L22" s="33"/>
      <c r="M22" s="33"/>
    </row>
    <row r="23" spans="1:13" ht="15" x14ac:dyDescent="0.2">
      <c r="A23" s="33"/>
      <c r="B23" s="33"/>
      <c r="C23" s="33"/>
      <c r="D23" s="33"/>
      <c r="E23" s="33"/>
      <c r="F23" s="50"/>
      <c r="G23" s="44"/>
      <c r="H23" s="44"/>
      <c r="I23" s="44"/>
      <c r="J23" s="44"/>
      <c r="K23" s="33"/>
      <c r="L23" s="33"/>
      <c r="M23" s="33"/>
    </row>
    <row r="24" spans="1:13" ht="15" x14ac:dyDescent="0.2">
      <c r="A24" s="33"/>
      <c r="B24" s="33"/>
      <c r="C24" s="33"/>
      <c r="D24" s="33"/>
      <c r="E24" s="33"/>
      <c r="F24" s="33"/>
      <c r="G24" s="45"/>
      <c r="H24" s="45"/>
      <c r="I24" s="45"/>
      <c r="J24" s="45"/>
      <c r="K24" s="33"/>
      <c r="L24" s="33"/>
      <c r="M24" s="33"/>
    </row>
  </sheetData>
  <mergeCells count="12">
    <mergeCell ref="A15:A18"/>
    <mergeCell ref="A3:A7"/>
    <mergeCell ref="G10:K10"/>
    <mergeCell ref="D3:D7"/>
    <mergeCell ref="G11:K11"/>
    <mergeCell ref="G14:K14"/>
    <mergeCell ref="D16:D18"/>
    <mergeCell ref="G22:J22"/>
    <mergeCell ref="O1:P1"/>
    <mergeCell ref="G1:K1"/>
    <mergeCell ref="C15:E15"/>
    <mergeCell ref="G21:J21"/>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36" operator="containsText" id="{2164D11E-836C-44F8-9AC7-6F15FCE890B3}">
            <xm:f>NOT(ISERROR(SEARCH($G$9+$D$3=$M$6,D3)))</xm:f>
            <xm:f>$G$9+$D$3=$M$6</xm:f>
            <x14:dxf/>
          </x14:cfRule>
          <xm:sqref>D3:F3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CONTROL DE ACTUALIZACIONES </vt:lpstr>
      <vt:lpstr>MATRIZ DE RIESGOS DE SST</vt:lpstr>
      <vt:lpstr>UNIVERSO DE RIESGOS DE SST </vt:lpstr>
      <vt:lpstr>TABLA DE CRITERIOS</vt:lpstr>
      <vt:lpstr>MAPAS DE RIESGOS INHER Y RESID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dc:creator>
  <cp:lastModifiedBy>Moises Jimenez Ortega</cp:lastModifiedBy>
  <cp:lastPrinted>2021-08-13T13:19:09Z</cp:lastPrinted>
  <dcterms:created xsi:type="dcterms:W3CDTF">2021-07-28T14:19:11Z</dcterms:created>
  <dcterms:modified xsi:type="dcterms:W3CDTF">2024-03-07T16:34:34Z</dcterms:modified>
</cp:coreProperties>
</file>